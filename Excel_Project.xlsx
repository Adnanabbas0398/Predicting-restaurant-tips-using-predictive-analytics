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Desktop\"/>
    </mc:Choice>
  </mc:AlternateContent>
  <xr:revisionPtr revIDLastSave="0" documentId="13_ncr:1_{345B493A-A547-4EB7-8A2F-63B2FB298864}" xr6:coauthVersionLast="47" xr6:coauthVersionMax="47" xr10:uidLastSave="{00000000-0000-0000-0000-000000000000}"/>
  <bookViews>
    <workbookView xWindow="-110" yWindow="-110" windowWidth="22620" windowHeight="13500" activeTab="3" xr2:uid="{E39F1B53-3127-4D6C-88BD-079CCE5E8692}"/>
  </bookViews>
  <sheets>
    <sheet name="tips" sheetId="1" r:id="rId1"/>
    <sheet name="Correlation" sheetId="5" r:id="rId2"/>
    <sheet name="Regression" sheetId="4" r:id="rId3"/>
    <sheet name="Predicted Tips" sheetId="3" r:id="rId4"/>
  </sheets>
  <definedNames>
    <definedName name="_xlnm._FilterDatabase" localSheetId="0" hidden="1">tips!$C$1:$C$245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" i="3"/>
  <c r="T2" i="5"/>
  <c r="S2" i="5"/>
  <c r="R2" i="5"/>
  <c r="Q2" i="5"/>
  <c r="P2" i="5"/>
  <c r="O2" i="5"/>
  <c r="N2" i="5"/>
  <c r="M2" i="5"/>
  <c r="L2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" i="3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H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" i="1"/>
</calcChain>
</file>

<file path=xl/sharedStrings.xml><?xml version="1.0" encoding="utf-8"?>
<sst xmlns="http://schemas.openxmlformats.org/spreadsheetml/2006/main" count="1067" uniqueCount="70">
  <si>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</si>
  <si>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</si>
  <si>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</si>
  <si>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</si>
  <si>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</si>
  <si>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</si>
  <si>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</si>
  <si>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</si>
  <si>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</si>
  <si>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</si>
  <si>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</si>
  <si>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</si>
  <si>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</si>
  <si>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</si>
  <si>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</si>
  <si>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</si>
  <si>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</si>
  <si>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</si>
  <si>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</si>
  <si>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</si>
  <si>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</si>
  <si>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</si>
  <si>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</si>
  <si>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</si>
  <si>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</si>
  <si>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</si>
  <si>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smoker_Yes</t>
  </si>
  <si>
    <t>sex_Male</t>
  </si>
  <si>
    <t>time_Dinner</t>
  </si>
  <si>
    <t>day_thurs</t>
  </si>
  <si>
    <t>day_fri</t>
  </si>
  <si>
    <t>day_sat</t>
  </si>
  <si>
    <t>day_sun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</si>
  <si>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</si>
  <si>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</si>
  <si>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</si>
  <si>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</si>
  <si>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</si>
  <si>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</si>
  <si>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</si>
  <si>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</si>
  <si>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</si>
  <si>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</si>
  <si>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</si>
  <si>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</si>
  <si>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</si>
  <si>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</si>
  <si>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</si>
  <si>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</si>
  <si>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</si>
  <si>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</si>
  <si>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</si>
  <si>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</si>
  <si>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</si>
  <si>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</si>
  <si>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</si>
  <si>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</si>
  <si>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Tip</t>
  </si>
  <si>
    <t>Predicted Tip</t>
  </si>
  <si>
    <t>Correlation(total_bill)</t>
  </si>
  <si>
    <t>Correlation(size)</t>
  </si>
  <si>
    <t>Correlation(Sex_Male)</t>
  </si>
  <si>
    <t>Correlation(Smoker_Yes)</t>
  </si>
  <si>
    <t>Correlation(Time_Dinner)</t>
  </si>
  <si>
    <t>Correlation(Day_Thur)</t>
  </si>
  <si>
    <t>Correlation(Day_Fri)</t>
  </si>
  <si>
    <t>Correlation(Day_Sat)</t>
  </si>
  <si>
    <t>Correlation(Day_Sun)</t>
  </si>
  <si>
    <t>Squared Residual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</si>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</sst>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3648293963253"/>
          <c:y val="9.9340206185567034E-2"/>
          <c:w val="0.82230796150481189"/>
          <c:h val="0.681285493952431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'Predicted Tips'!$I$1</c:f>
              <c:strCache>
                <c:ptCount val="1"/>
                <c:pt idx="0">
                  <c:v>Predicted Tip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092957130358704E-2"/>
                  <c:y val="-5.81030927835051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'Predicted Tips'!$H$2:$H$245</c:f>
              <c:numCache>
                <c:formatCode>General</c:formatCode>
                <c:ptCount val="244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4</c:v>
                </c:pt>
                <c:pt idx="205">
                  <c:v>3.23</c:v>
                </c:pt>
                <c:pt idx="206">
                  <c:v>3.41</c:v>
                </c:pt>
                <c:pt idx="207">
                  <c:v>3</c:v>
                </c:pt>
                <c:pt idx="208">
                  <c:v>2.0299999999999998</c:v>
                </c:pt>
                <c:pt idx="209">
                  <c:v>2.23</c:v>
                </c:pt>
                <c:pt idx="210">
                  <c:v>2</c:v>
                </c:pt>
                <c:pt idx="211">
                  <c:v>5.16</c:v>
                </c:pt>
                <c:pt idx="212">
                  <c:v>9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3</c:v>
                </c:pt>
                <c:pt idx="217">
                  <c:v>1.5</c:v>
                </c:pt>
                <c:pt idx="218">
                  <c:v>1.44</c:v>
                </c:pt>
                <c:pt idx="219">
                  <c:v>3.09</c:v>
                </c:pt>
                <c:pt idx="220">
                  <c:v>2.2000000000000002</c:v>
                </c:pt>
                <c:pt idx="221">
                  <c:v>3.48</c:v>
                </c:pt>
                <c:pt idx="222">
                  <c:v>1.92</c:v>
                </c:pt>
                <c:pt idx="223">
                  <c:v>3</c:v>
                </c:pt>
                <c:pt idx="224">
                  <c:v>1.58</c:v>
                </c:pt>
                <c:pt idx="225">
                  <c:v>2.5</c:v>
                </c:pt>
                <c:pt idx="226">
                  <c:v>2</c:v>
                </c:pt>
                <c:pt idx="227">
                  <c:v>3</c:v>
                </c:pt>
                <c:pt idx="228">
                  <c:v>2.72</c:v>
                </c:pt>
                <c:pt idx="229">
                  <c:v>2.88</c:v>
                </c:pt>
                <c:pt idx="230">
                  <c:v>2</c:v>
                </c:pt>
                <c:pt idx="231">
                  <c:v>3</c:v>
                </c:pt>
                <c:pt idx="232">
                  <c:v>3.39</c:v>
                </c:pt>
                <c:pt idx="233">
                  <c:v>1.47</c:v>
                </c:pt>
                <c:pt idx="234">
                  <c:v>3</c:v>
                </c:pt>
                <c:pt idx="235">
                  <c:v>1.25</c:v>
                </c:pt>
                <c:pt idx="236">
                  <c:v>1</c:v>
                </c:pt>
                <c:pt idx="237">
                  <c:v>1.17</c:v>
                </c:pt>
                <c:pt idx="238">
                  <c:v>4.67</c:v>
                </c:pt>
                <c:pt idx="239">
                  <c:v>5.92</c:v>
                </c:pt>
                <c:pt idx="240">
                  <c:v>2</c:v>
                </c:pt>
                <c:pt idx="241">
                  <c:v>2</c:v>
                </c:pt>
                <c:pt idx="242">
                  <c:v>1.75</c:v>
                </c:pt>
                <c:pt idx="243">
                  <c:v>3</c:v>
                </c:pt>
              </c:numCache>
            </c:numRef>
          </c:xVal>
          <c:yVal>
            <c:numRef>
              <c:f>'Predicted Tips'!$I$2:$I$245</c:f>
              <c:numCache>
                <c:formatCode>General</c:formatCode>
                <c:ptCount val="244"/>
                <c:pt idx="0">
                  <c:v>2.7140599999999999</c:v>
                </c:pt>
                <c:pt idx="1">
                  <c:v>2.2379600000000002</c:v>
                </c:pt>
                <c:pt idx="2">
                  <c:v>3.2409400000000002</c:v>
                </c:pt>
                <c:pt idx="3">
                  <c:v>3.31392</c:v>
                </c:pt>
                <c:pt idx="4">
                  <c:v>3.7844600000000002</c:v>
                </c:pt>
                <c:pt idx="5">
                  <c:v>3.8212599999999997</c:v>
                </c:pt>
                <c:pt idx="6">
                  <c:v>1.91238</c:v>
                </c:pt>
                <c:pt idx="7">
                  <c:v>3.97072</c:v>
                </c:pt>
                <c:pt idx="8">
                  <c:v>2.50176</c:v>
                </c:pt>
                <c:pt idx="9">
                  <c:v>2.4773199999999997</c:v>
                </c:pt>
                <c:pt idx="10">
                  <c:v>2.0533800000000002</c:v>
                </c:pt>
                <c:pt idx="11">
                  <c:v>4.7874400000000001</c:v>
                </c:pt>
                <c:pt idx="12">
                  <c:v>2.5374800000000004</c:v>
                </c:pt>
                <c:pt idx="13">
                  <c:v>3.1764200000000002</c:v>
                </c:pt>
                <c:pt idx="14">
                  <c:v>2.5110200000000003</c:v>
                </c:pt>
                <c:pt idx="15">
                  <c:v>3.11652</c:v>
                </c:pt>
                <c:pt idx="16">
                  <c:v>2.2660200000000001</c:v>
                </c:pt>
                <c:pt idx="17">
                  <c:v>2.7972599999999996</c:v>
                </c:pt>
                <c:pt idx="18">
                  <c:v>2.89018</c:v>
                </c:pt>
                <c:pt idx="19">
                  <c:v>3.1200999999999994</c:v>
                </c:pt>
                <c:pt idx="20">
                  <c:v>2.6854800000000001</c:v>
                </c:pt>
                <c:pt idx="21">
                  <c:v>2.9372599999999998</c:v>
                </c:pt>
                <c:pt idx="22">
                  <c:v>2.5123799999999998</c:v>
                </c:pt>
                <c:pt idx="23">
                  <c:v>5.0624800000000008</c:v>
                </c:pt>
                <c:pt idx="24">
                  <c:v>2.86408</c:v>
                </c:pt>
                <c:pt idx="25">
                  <c:v>3.0311400000000002</c:v>
                </c:pt>
                <c:pt idx="26">
                  <c:v>2.2577799999999999</c:v>
                </c:pt>
                <c:pt idx="27">
                  <c:v>2.1938599999999999</c:v>
                </c:pt>
                <c:pt idx="28">
                  <c:v>3.0407999999999999</c:v>
                </c:pt>
                <c:pt idx="29">
                  <c:v>2.8771</c:v>
                </c:pt>
                <c:pt idx="30">
                  <c:v>1.8986999999999998</c:v>
                </c:pt>
                <c:pt idx="31">
                  <c:v>3.0818999999999996</c:v>
                </c:pt>
                <c:pt idx="32">
                  <c:v>2.4456399999999996</c:v>
                </c:pt>
                <c:pt idx="33">
                  <c:v>3.3308599999999999</c:v>
                </c:pt>
                <c:pt idx="34">
                  <c:v>2.67232</c:v>
                </c:pt>
                <c:pt idx="35">
                  <c:v>3.4406399999999997</c:v>
                </c:pt>
                <c:pt idx="36">
                  <c:v>2.7121400000000002</c:v>
                </c:pt>
                <c:pt idx="37">
                  <c:v>2.79942</c:v>
                </c:pt>
                <c:pt idx="38">
                  <c:v>2.9358600000000004</c:v>
                </c:pt>
                <c:pt idx="39">
                  <c:v>4.1183800000000002</c:v>
                </c:pt>
                <c:pt idx="40">
                  <c:v>2.68676</c:v>
                </c:pt>
                <c:pt idx="41">
                  <c:v>2.7292399999999999</c:v>
                </c:pt>
                <c:pt idx="42">
                  <c:v>2.3983600000000003</c:v>
                </c:pt>
                <c:pt idx="43">
                  <c:v>1.9979199999999999</c:v>
                </c:pt>
                <c:pt idx="44">
                  <c:v>4.3015999999999996</c:v>
                </c:pt>
                <c:pt idx="45">
                  <c:v>2.8072600000000003</c:v>
                </c:pt>
                <c:pt idx="46">
                  <c:v>3.1776200000000001</c:v>
                </c:pt>
                <c:pt idx="47">
                  <c:v>4.4896000000000003</c:v>
                </c:pt>
                <c:pt idx="48">
                  <c:v>3.9497</c:v>
                </c:pt>
                <c:pt idx="49">
                  <c:v>2.78376</c:v>
                </c:pt>
                <c:pt idx="50">
                  <c:v>2.2667600000000001</c:v>
                </c:pt>
                <c:pt idx="51">
                  <c:v>2.08426</c:v>
                </c:pt>
                <c:pt idx="52">
                  <c:v>4.7451400000000001</c:v>
                </c:pt>
                <c:pt idx="53">
                  <c:v>2.0223599999999999</c:v>
                </c:pt>
                <c:pt idx="54">
                  <c:v>3.8466399999999998</c:v>
                </c:pt>
                <c:pt idx="55">
                  <c:v>2.9200599999999999</c:v>
                </c:pt>
                <c:pt idx="56">
                  <c:v>4.8459400000000006</c:v>
                </c:pt>
                <c:pt idx="57">
                  <c:v>3.51254</c:v>
                </c:pt>
                <c:pt idx="58">
                  <c:v>1.9735600000000002</c:v>
                </c:pt>
                <c:pt idx="59">
                  <c:v>5.8943800000000008</c:v>
                </c:pt>
                <c:pt idx="60">
                  <c:v>2.8242599999999998</c:v>
                </c:pt>
                <c:pt idx="61">
                  <c:v>2.2151399999999999</c:v>
                </c:pt>
                <c:pt idx="62">
                  <c:v>1.9528800000000002</c:v>
                </c:pt>
                <c:pt idx="63">
                  <c:v>2.9922599999999999</c:v>
                </c:pt>
                <c:pt idx="64">
                  <c:v>2.8324599999999998</c:v>
                </c:pt>
                <c:pt idx="65">
                  <c:v>3.0665200000000001</c:v>
                </c:pt>
                <c:pt idx="66">
                  <c:v>2.5762999999999998</c:v>
                </c:pt>
                <c:pt idx="67">
                  <c:v>1.0565799999999999</c:v>
                </c:pt>
                <c:pt idx="68">
                  <c:v>2.9026200000000002</c:v>
                </c:pt>
                <c:pt idx="69">
                  <c:v>2.3279399999999999</c:v>
                </c:pt>
                <c:pt idx="70">
                  <c:v>2.1308799999999999</c:v>
                </c:pt>
                <c:pt idx="71">
                  <c:v>2.8125800000000001</c:v>
                </c:pt>
                <c:pt idx="72">
                  <c:v>3.4708399999999995</c:v>
                </c:pt>
                <c:pt idx="73">
                  <c:v>3.3223199999999999</c:v>
                </c:pt>
                <c:pt idx="74">
                  <c:v>2.4146199999999998</c:v>
                </c:pt>
                <c:pt idx="75">
                  <c:v>1.9889400000000002</c:v>
                </c:pt>
                <c:pt idx="76">
                  <c:v>2.60148</c:v>
                </c:pt>
                <c:pt idx="77">
                  <c:v>3.9497999999999998</c:v>
                </c:pt>
                <c:pt idx="78">
                  <c:v>3.1764399999999999</c:v>
                </c:pt>
                <c:pt idx="79">
                  <c:v>2.6622599999999998</c:v>
                </c:pt>
                <c:pt idx="80">
                  <c:v>2.7803599999999999</c:v>
                </c:pt>
                <c:pt idx="81">
                  <c:v>2.60304</c:v>
                </c:pt>
                <c:pt idx="82">
                  <c:v>1.8345799999999999</c:v>
                </c:pt>
                <c:pt idx="83">
                  <c:v>4.0249200000000007</c:v>
                </c:pt>
                <c:pt idx="84">
                  <c:v>2.53912</c:v>
                </c:pt>
                <c:pt idx="85">
                  <c:v>4.6960199999999999</c:v>
                </c:pt>
                <c:pt idx="86">
                  <c:v>2.2618200000000002</c:v>
                </c:pt>
                <c:pt idx="87">
                  <c:v>2.7553200000000002</c:v>
                </c:pt>
                <c:pt idx="88">
                  <c:v>3.3597399999999999</c:v>
                </c:pt>
                <c:pt idx="89">
                  <c:v>3.0260400000000001</c:v>
                </c:pt>
                <c:pt idx="90">
                  <c:v>3.8051799999999996</c:v>
                </c:pt>
                <c:pt idx="91">
                  <c:v>3.2800599999999998</c:v>
                </c:pt>
                <c:pt idx="92">
                  <c:v>1.6515</c:v>
                </c:pt>
                <c:pt idx="93">
                  <c:v>2.6450800000000001</c:v>
                </c:pt>
                <c:pt idx="94">
                  <c:v>3.3334999999999999</c:v>
                </c:pt>
                <c:pt idx="95">
                  <c:v>5.2139800000000003</c:v>
                </c:pt>
                <c:pt idx="96">
                  <c:v>3.6463199999999998</c:v>
                </c:pt>
                <c:pt idx="97">
                  <c:v>2.2128199999999998</c:v>
                </c:pt>
                <c:pt idx="98">
                  <c:v>3.05694</c:v>
                </c:pt>
                <c:pt idx="99">
                  <c:v>2.33724</c:v>
                </c:pt>
                <c:pt idx="100">
                  <c:v>2.1778999999999997</c:v>
                </c:pt>
                <c:pt idx="101">
                  <c:v>2.5567199999999999</c:v>
                </c:pt>
                <c:pt idx="102">
                  <c:v>5.2882000000000007</c:v>
                </c:pt>
                <c:pt idx="103">
                  <c:v>3.05348</c:v>
                </c:pt>
                <c:pt idx="104">
                  <c:v>2.99648</c:v>
                </c:pt>
                <c:pt idx="105">
                  <c:v>2.3608399999999996</c:v>
                </c:pt>
                <c:pt idx="106">
                  <c:v>2.8430599999999995</c:v>
                </c:pt>
                <c:pt idx="107">
                  <c:v>3.28674</c:v>
                </c:pt>
                <c:pt idx="108">
                  <c:v>2.7155599999999995</c:v>
                </c:pt>
                <c:pt idx="109">
                  <c:v>2.2911399999999995</c:v>
                </c:pt>
                <c:pt idx="110">
                  <c:v>2.3169999999999997</c:v>
                </c:pt>
                <c:pt idx="111">
                  <c:v>1.5334999999999999</c:v>
                </c:pt>
                <c:pt idx="112">
                  <c:v>4.8445799999999997</c:v>
                </c:pt>
                <c:pt idx="113">
                  <c:v>3.3393000000000002</c:v>
                </c:pt>
                <c:pt idx="114">
                  <c:v>3.7117399999999998</c:v>
                </c:pt>
                <c:pt idx="115">
                  <c:v>2.7441399999999998</c:v>
                </c:pt>
                <c:pt idx="116">
                  <c:v>4.2574199999999998</c:v>
                </c:pt>
                <c:pt idx="117">
                  <c:v>2.0670999999999999</c:v>
                </c:pt>
                <c:pt idx="118">
                  <c:v>2.2344200000000001</c:v>
                </c:pt>
                <c:pt idx="119">
                  <c:v>3.6855199999999995</c:v>
                </c:pt>
                <c:pt idx="120">
                  <c:v>2.1358600000000001</c:v>
                </c:pt>
                <c:pt idx="121">
                  <c:v>2.32748</c:v>
                </c:pt>
                <c:pt idx="122">
                  <c:v>2.37744</c:v>
                </c:pt>
                <c:pt idx="123">
                  <c:v>2.5362999999999998</c:v>
                </c:pt>
                <c:pt idx="124">
                  <c:v>2.2391199999999998</c:v>
                </c:pt>
                <c:pt idx="125">
                  <c:v>4.5792000000000002</c:v>
                </c:pt>
                <c:pt idx="126">
                  <c:v>1.8378799999999997</c:v>
                </c:pt>
                <c:pt idx="127">
                  <c:v>2.4308799999999997</c:v>
                </c:pt>
                <c:pt idx="128">
                  <c:v>2.1357200000000001</c:v>
                </c:pt>
                <c:pt idx="129">
                  <c:v>3.36008</c:v>
                </c:pt>
                <c:pt idx="130">
                  <c:v>2.8305199999999999</c:v>
                </c:pt>
                <c:pt idx="131">
                  <c:v>2.9713799999999999</c:v>
                </c:pt>
                <c:pt idx="132">
                  <c:v>2.11598</c:v>
                </c:pt>
                <c:pt idx="133">
                  <c:v>2.2184399999999997</c:v>
                </c:pt>
                <c:pt idx="134">
                  <c:v>2.7824400000000002</c:v>
                </c:pt>
                <c:pt idx="135">
                  <c:v>1.8659399999999997</c:v>
                </c:pt>
                <c:pt idx="136">
                  <c:v>2.0370200000000001</c:v>
                </c:pt>
                <c:pt idx="137">
                  <c:v>2.3960999999999997</c:v>
                </c:pt>
                <c:pt idx="138">
                  <c:v>2.4569999999999999</c:v>
                </c:pt>
                <c:pt idx="139">
                  <c:v>2.3030399999999998</c:v>
                </c:pt>
                <c:pt idx="140">
                  <c:v>2.7081799999999996</c:v>
                </c:pt>
                <c:pt idx="141">
                  <c:v>4.9732000000000003</c:v>
                </c:pt>
                <c:pt idx="142">
                  <c:v>5.4428599999999996</c:v>
                </c:pt>
                <c:pt idx="143">
                  <c:v>4.3207000000000004</c:v>
                </c:pt>
                <c:pt idx="144">
                  <c:v>2.6104199999999995</c:v>
                </c:pt>
                <c:pt idx="145">
                  <c:v>1.8508999999999998</c:v>
                </c:pt>
                <c:pt idx="146">
                  <c:v>2.9961599999999997</c:v>
                </c:pt>
                <c:pt idx="147">
                  <c:v>2.1817799999999998</c:v>
                </c:pt>
                <c:pt idx="148">
                  <c:v>1.9563199999999998</c:v>
                </c:pt>
                <c:pt idx="149">
                  <c:v>1.7429399999999999</c:v>
                </c:pt>
                <c:pt idx="150">
                  <c:v>2.4105800000000004</c:v>
                </c:pt>
                <c:pt idx="151">
                  <c:v>2.3222200000000002</c:v>
                </c:pt>
                <c:pt idx="152">
                  <c:v>2.8884400000000001</c:v>
                </c:pt>
                <c:pt idx="153">
                  <c:v>3.7517000000000005</c:v>
                </c:pt>
                <c:pt idx="154">
                  <c:v>3.3023800000000003</c:v>
                </c:pt>
                <c:pt idx="155">
                  <c:v>4.4569000000000001</c:v>
                </c:pt>
                <c:pt idx="156">
                  <c:v>6.3279800000000002</c:v>
                </c:pt>
                <c:pt idx="157">
                  <c:v>3.8230000000000004</c:v>
                </c:pt>
                <c:pt idx="158">
                  <c:v>2.3756600000000003</c:v>
                </c:pt>
                <c:pt idx="159">
                  <c:v>2.9940600000000002</c:v>
                </c:pt>
                <c:pt idx="160">
                  <c:v>3.4649999999999999</c:v>
                </c:pt>
                <c:pt idx="161">
                  <c:v>2.2780400000000003</c:v>
                </c:pt>
                <c:pt idx="162">
                  <c:v>2.81874</c:v>
                </c:pt>
                <c:pt idx="163">
                  <c:v>2.3861400000000001</c:v>
                </c:pt>
                <c:pt idx="164">
                  <c:v>2.6789400000000003</c:v>
                </c:pt>
                <c:pt idx="165">
                  <c:v>3.5708799999999998</c:v>
                </c:pt>
                <c:pt idx="166">
                  <c:v>3.0394399999999999</c:v>
                </c:pt>
                <c:pt idx="167">
                  <c:v>4.4247399999999999</c:v>
                </c:pt>
                <c:pt idx="168">
                  <c:v>1.94146</c:v>
                </c:pt>
                <c:pt idx="169">
                  <c:v>1.9452200000000002</c:v>
                </c:pt>
                <c:pt idx="170">
                  <c:v>5.8711400000000005</c:v>
                </c:pt>
                <c:pt idx="171">
                  <c:v>2.4031399999999996</c:v>
                </c:pt>
                <c:pt idx="172">
                  <c:v>1.6855</c:v>
                </c:pt>
                <c:pt idx="173">
                  <c:v>3.9979</c:v>
                </c:pt>
                <c:pt idx="174">
                  <c:v>2.58508</c:v>
                </c:pt>
                <c:pt idx="175">
                  <c:v>4.0966000000000005</c:v>
                </c:pt>
                <c:pt idx="176">
                  <c:v>2.6856599999999999</c:v>
                </c:pt>
                <c:pt idx="177">
                  <c:v>2.3651200000000001</c:v>
                </c:pt>
                <c:pt idx="178">
                  <c:v>1.9353999999999998</c:v>
                </c:pt>
                <c:pt idx="179">
                  <c:v>4.2592200000000009</c:v>
                </c:pt>
                <c:pt idx="180">
                  <c:v>4.6171000000000006</c:v>
                </c:pt>
                <c:pt idx="181">
                  <c:v>3.1970199999999998</c:v>
                </c:pt>
                <c:pt idx="182">
                  <c:v>5.4449000000000005</c:v>
                </c:pt>
                <c:pt idx="183">
                  <c:v>3.5379800000000006</c:v>
                </c:pt>
                <c:pt idx="184">
                  <c:v>4.8156999999999996</c:v>
                </c:pt>
                <c:pt idx="185">
                  <c:v>3.5668600000000001</c:v>
                </c:pt>
                <c:pt idx="186">
                  <c:v>3.1755999999999998</c:v>
                </c:pt>
                <c:pt idx="187">
                  <c:v>4.4012400000000005</c:v>
                </c:pt>
                <c:pt idx="188">
                  <c:v>2.9171</c:v>
                </c:pt>
                <c:pt idx="189">
                  <c:v>3.3534000000000002</c:v>
                </c:pt>
                <c:pt idx="190">
                  <c:v>2.4788600000000001</c:v>
                </c:pt>
                <c:pt idx="191">
                  <c:v>2.8441399999999999</c:v>
                </c:pt>
                <c:pt idx="192">
                  <c:v>3.62636</c:v>
                </c:pt>
                <c:pt idx="193">
                  <c:v>2.4081199999999998</c:v>
                </c:pt>
                <c:pt idx="194">
                  <c:v>2.5115199999999995</c:v>
                </c:pt>
                <c:pt idx="195">
                  <c:v>1.7476400000000001</c:v>
                </c:pt>
                <c:pt idx="196">
                  <c:v>1.92496</c:v>
                </c:pt>
                <c:pt idx="197">
                  <c:v>5.3903400000000001</c:v>
                </c:pt>
                <c:pt idx="198">
                  <c:v>2.2039999999999997</c:v>
                </c:pt>
                <c:pt idx="199">
                  <c:v>2.2229399999999999</c:v>
                </c:pt>
                <c:pt idx="200">
                  <c:v>2.8897400000000002</c:v>
                </c:pt>
                <c:pt idx="201">
                  <c:v>2.1795599999999999</c:v>
                </c:pt>
                <c:pt idx="202">
                  <c:v>2.2039999999999997</c:v>
                </c:pt>
                <c:pt idx="203">
                  <c:v>2.5235999999999996</c:v>
                </c:pt>
                <c:pt idx="204">
                  <c:v>3.23882</c:v>
                </c:pt>
                <c:pt idx="205">
                  <c:v>2.70818</c:v>
                </c:pt>
                <c:pt idx="206">
                  <c:v>3.5944599999999998</c:v>
                </c:pt>
                <c:pt idx="207">
                  <c:v>4.9136199999999999</c:v>
                </c:pt>
                <c:pt idx="208">
                  <c:v>3.1983799999999998</c:v>
                </c:pt>
                <c:pt idx="209">
                  <c:v>2.1454399999999998</c:v>
                </c:pt>
                <c:pt idx="210">
                  <c:v>3.9206399999999992</c:v>
                </c:pt>
                <c:pt idx="211">
                  <c:v>3.7066600000000003</c:v>
                </c:pt>
                <c:pt idx="212">
                  <c:v>5.9000200000000005</c:v>
                </c:pt>
                <c:pt idx="213">
                  <c:v>2.1933799999999999</c:v>
                </c:pt>
                <c:pt idx="214">
                  <c:v>3.7719800000000001</c:v>
                </c:pt>
                <c:pt idx="215">
                  <c:v>2.1585999999999999</c:v>
                </c:pt>
                <c:pt idx="216">
                  <c:v>4.0971000000000002</c:v>
                </c:pt>
                <c:pt idx="217">
                  <c:v>2.0064600000000001</c:v>
                </c:pt>
                <c:pt idx="218">
                  <c:v>1.6445599999999998</c:v>
                </c:pt>
                <c:pt idx="219">
                  <c:v>4.1351600000000008</c:v>
                </c:pt>
                <c:pt idx="220">
                  <c:v>2.1740399999999998</c:v>
                </c:pt>
                <c:pt idx="221">
                  <c:v>2.3214799999999998</c:v>
                </c:pt>
                <c:pt idx="222">
                  <c:v>1.6595199999999999</c:v>
                </c:pt>
                <c:pt idx="223">
                  <c:v>2.8241200000000002</c:v>
                </c:pt>
                <c:pt idx="224">
                  <c:v>2.2924799999999999</c:v>
                </c:pt>
                <c:pt idx="225">
                  <c:v>2.5893799999999993</c:v>
                </c:pt>
                <c:pt idx="226">
                  <c:v>2.0084599999999995</c:v>
                </c:pt>
                <c:pt idx="227">
                  <c:v>3.2792999999999997</c:v>
                </c:pt>
                <c:pt idx="228">
                  <c:v>2.24932</c:v>
                </c:pt>
                <c:pt idx="229">
                  <c:v>3.02528</c:v>
                </c:pt>
                <c:pt idx="230">
                  <c:v>3.5299399999999999</c:v>
                </c:pt>
                <c:pt idx="231">
                  <c:v>2.5698600000000003</c:v>
                </c:pt>
                <c:pt idx="232">
                  <c:v>2.0923400000000001</c:v>
                </c:pt>
                <c:pt idx="233">
                  <c:v>2.0133800000000002</c:v>
                </c:pt>
                <c:pt idx="234">
                  <c:v>2.3768199999999995</c:v>
                </c:pt>
                <c:pt idx="235">
                  <c:v>1.9475800000000001</c:v>
                </c:pt>
                <c:pt idx="236">
                  <c:v>2.1013999999999999</c:v>
                </c:pt>
                <c:pt idx="237">
                  <c:v>4.0030200000000011</c:v>
                </c:pt>
                <c:pt idx="238">
                  <c:v>4.5760200000000006</c:v>
                </c:pt>
                <c:pt idx="239">
                  <c:v>3.9078200000000005</c:v>
                </c:pt>
                <c:pt idx="240">
                  <c:v>3.5009199999999998</c:v>
                </c:pt>
                <c:pt idx="241">
                  <c:v>3.0479799999999999</c:v>
                </c:pt>
                <c:pt idx="242">
                  <c:v>2.6760800000000002</c:v>
                </c:pt>
                <c:pt idx="243">
                  <c:v>2.88232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B-4955-91A9-93ED61F2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378880"/>
        <c:axId val="1106371200"/>
      </c:scatterChart>
      <c:valAx>
        <c:axId val="110637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 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71200"/>
        <c:crosses val="autoZero"/>
        <c:crossBetween val="midCat"/>
      </c:valAx>
      <c:valAx>
        <c:axId val="11063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 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7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568325</xdr:colOff>
      <xdr:row>3</xdr:row>
      <xdr:rowOff>50800</xdr:rowOff>
    </xdr:from>
    <xdr:to>
      <xdr:col>20</xdr:col>
      <xdr:colOff>263525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EDC18-5C57-4141-06BA-7B607D6B0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R245"/>
  <sheetViews>
    <sheetView workbookViewId="0">
      <selection activeCell="H2" sqref="H2"/>
    </sheetView>
  </sheetViews>
  <sheetFormatPr defaultColWidth="13.453125" defaultRowHeight="14.5" x14ac:dyDescent="0.35"/>
  <cols>
    <col min="18" max="18" width="46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26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4</v>
      </c>
      <c r="M1" t="s">
        <v>5</v>
      </c>
      <c r="N1" t="s">
        <v>6</v>
      </c>
    </row>
    <row r="2" spans="1:18" x14ac:dyDescent="0.35">
      <c r="A2" t="s">
        <v>7</v>
      </c>
      <c r="B2" t="s">
        <v>8</v>
      </c>
      <c r="C2" t="s">
        <v>9</v>
      </c>
      <c r="D2" t="s">
        <v>10</v>
      </c>
      <c r="E2">
        <f>IF(A2="Male",1,0)</f>
        <v>0</v>
      </c>
      <c r="F2">
        <f>IF(B2="Yes",1,0)</f>
        <v>0</v>
      </c>
      <c r="G2">
        <f>IF(D2="Dinner",1,0)</f>
        <v>1</v>
      </c>
      <c r="H2">
        <f>IF(C2="Thur",1,0)</f>
        <v>0</v>
      </c>
      <c r="I2">
        <f>IF(C2="Fri",1,0)</f>
        <v>0</v>
      </c>
      <c r="J2">
        <f>IF(C2="Sat",1,0)</f>
        <v>0</v>
      </c>
      <c r="K2">
        <f>IF(C2="Sun",1,0)</f>
        <v>1</v>
      </c>
      <c r="L2">
        <v>2</v>
      </c>
      <c r="M2">
        <v>16.989999999999998</v>
      </c>
      <c r="N2">
        <v>1.01</v>
      </c>
    </row>
    <row r="3" spans="1:18" x14ac:dyDescent="0.35">
      <c r="A3" t="s">
        <v>11</v>
      </c>
      <c r="B3" t="s">
        <v>8</v>
      </c>
      <c r="C3" t="s">
        <v>9</v>
      </c>
      <c r="D3" t="s">
        <v>10</v>
      </c>
      <c r="E3">
        <f t="shared" ref="E3:E66" si="0">IF(A3="Male",1,0)</f>
        <v>1</v>
      </c>
      <c r="F3">
        <f t="shared" ref="F3:F66" si="1">IF(B3="Yes",1,0)</f>
        <v>0</v>
      </c>
      <c r="G3">
        <f t="shared" ref="G3:G66" si="2">IF(D3="Dinner",1,0)</f>
        <v>1</v>
      </c>
      <c r="H3">
        <f t="shared" ref="H3:H66" si="3">IF(C3="Thur",1,0)</f>
        <v>0</v>
      </c>
      <c r="I3">
        <f t="shared" ref="I3:I66" si="4">IF(C3="Fri",1,0)</f>
        <v>0</v>
      </c>
      <c r="J3">
        <f t="shared" ref="J3:J66" si="5">IF(C3="Sat",1,0)</f>
        <v>0</v>
      </c>
      <c r="K3">
        <f t="shared" ref="K3:K66" si="6">IF(C3="Sun",1,0)</f>
        <v>1</v>
      </c>
      <c r="L3">
        <v>3</v>
      </c>
      <c r="M3">
        <v>10.34</v>
      </c>
      <c r="N3">
        <v>1.66</v>
      </c>
      <c r="Q3" s="1" t="s">
        <v>12</v>
      </c>
      <c r="R3" s="1" t="s">
        <v>13</v>
      </c>
    </row>
    <row r="4" spans="1:18" x14ac:dyDescent="0.35">
      <c r="A4" t="s">
        <v>11</v>
      </c>
      <c r="B4" t="s">
        <v>8</v>
      </c>
      <c r="C4" t="s">
        <v>9</v>
      </c>
      <c r="D4" t="s">
        <v>10</v>
      </c>
      <c r="E4">
        <f t="shared" si="0"/>
        <v>1</v>
      </c>
      <c r="F4">
        <f t="shared" si="1"/>
        <v>0</v>
      </c>
      <c r="G4">
        <f t="shared" si="2"/>
        <v>1</v>
      </c>
      <c r="H4">
        <f t="shared" si="3"/>
        <v>0</v>
      </c>
      <c r="I4">
        <f t="shared" si="4"/>
        <v>0</v>
      </c>
      <c r="J4">
        <f t="shared" si="5"/>
        <v>0</v>
      </c>
      <c r="K4">
        <f t="shared" si="6"/>
        <v>1</v>
      </c>
      <c r="L4">
        <v>3</v>
      </c>
      <c r="M4">
        <v>21.01</v>
      </c>
      <c r="N4">
        <v>3.5</v>
      </c>
      <c r="Q4" s="1" t="s">
        <v>1</v>
      </c>
      <c r="R4" s="1" t="s">
        <v>14</v>
      </c>
    </row>
    <row r="5" spans="1:18" x14ac:dyDescent="0.35">
      <c r="A5" t="s">
        <v>11</v>
      </c>
      <c r="B5" t="s">
        <v>8</v>
      </c>
      <c r="C5" t="s">
        <v>9</v>
      </c>
      <c r="D5" t="s">
        <v>10</v>
      </c>
      <c r="E5">
        <f t="shared" si="0"/>
        <v>1</v>
      </c>
      <c r="F5">
        <f t="shared" si="1"/>
        <v>0</v>
      </c>
      <c r="G5">
        <f t="shared" si="2"/>
        <v>1</v>
      </c>
      <c r="H5">
        <f t="shared" si="3"/>
        <v>0</v>
      </c>
      <c r="I5">
        <f t="shared" si="4"/>
        <v>0</v>
      </c>
      <c r="J5">
        <f t="shared" si="5"/>
        <v>0</v>
      </c>
      <c r="K5">
        <f t="shared" si="6"/>
        <v>1</v>
      </c>
      <c r="L5">
        <v>2</v>
      </c>
      <c r="M5">
        <v>23.68</v>
      </c>
      <c r="N5">
        <v>3.31</v>
      </c>
      <c r="Q5" s="1" t="s">
        <v>2</v>
      </c>
      <c r="R5" s="1" t="s">
        <v>15</v>
      </c>
    </row>
    <row r="6" spans="1:18" x14ac:dyDescent="0.35">
      <c r="A6" t="s">
        <v>7</v>
      </c>
      <c r="B6" t="s">
        <v>8</v>
      </c>
      <c r="C6" t="s">
        <v>9</v>
      </c>
      <c r="D6" t="s">
        <v>10</v>
      </c>
      <c r="E6">
        <f t="shared" si="0"/>
        <v>0</v>
      </c>
      <c r="F6">
        <f t="shared" si="1"/>
        <v>0</v>
      </c>
      <c r="G6">
        <f t="shared" si="2"/>
        <v>1</v>
      </c>
      <c r="H6">
        <f t="shared" si="3"/>
        <v>0</v>
      </c>
      <c r="I6">
        <f t="shared" si="4"/>
        <v>0</v>
      </c>
      <c r="J6">
        <f t="shared" si="5"/>
        <v>0</v>
      </c>
      <c r="K6">
        <f t="shared" si="6"/>
        <v>1</v>
      </c>
      <c r="L6">
        <v>4</v>
      </c>
      <c r="M6">
        <v>24.59</v>
      </c>
      <c r="N6">
        <v>3.61</v>
      </c>
      <c r="Q6" s="1" t="s">
        <v>3</v>
      </c>
      <c r="R6" s="1" t="s">
        <v>16</v>
      </c>
    </row>
    <row r="7" spans="1:18" x14ac:dyDescent="0.35">
      <c r="A7" t="s">
        <v>11</v>
      </c>
      <c r="B7" t="s">
        <v>8</v>
      </c>
      <c r="C7" t="s">
        <v>9</v>
      </c>
      <c r="D7" t="s">
        <v>10</v>
      </c>
      <c r="E7">
        <f t="shared" si="0"/>
        <v>1</v>
      </c>
      <c r="F7">
        <f t="shared" si="1"/>
        <v>0</v>
      </c>
      <c r="G7">
        <f t="shared" si="2"/>
        <v>1</v>
      </c>
      <c r="H7">
        <f t="shared" si="3"/>
        <v>0</v>
      </c>
      <c r="I7">
        <f t="shared" si="4"/>
        <v>0</v>
      </c>
      <c r="J7">
        <f t="shared" si="5"/>
        <v>0</v>
      </c>
      <c r="K7">
        <f t="shared" si="6"/>
        <v>1</v>
      </c>
      <c r="L7">
        <v>4</v>
      </c>
      <c r="M7">
        <v>25.29</v>
      </c>
      <c r="N7">
        <v>4.71</v>
      </c>
      <c r="Q7" s="1" t="s">
        <v>4</v>
      </c>
      <c r="R7" s="1" t="s">
        <v>17</v>
      </c>
    </row>
    <row r="8" spans="1:18" x14ac:dyDescent="0.35">
      <c r="A8" t="s">
        <v>11</v>
      </c>
      <c r="B8" t="s">
        <v>8</v>
      </c>
      <c r="C8" t="s">
        <v>9</v>
      </c>
      <c r="D8" t="s">
        <v>10</v>
      </c>
      <c r="E8">
        <f t="shared" si="0"/>
        <v>1</v>
      </c>
      <c r="F8">
        <f t="shared" si="1"/>
        <v>0</v>
      </c>
      <c r="G8">
        <f t="shared" si="2"/>
        <v>1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1</v>
      </c>
      <c r="L8">
        <v>2</v>
      </c>
      <c r="M8">
        <v>8.77</v>
      </c>
      <c r="N8">
        <v>2</v>
      </c>
      <c r="Q8" s="1" t="s">
        <v>18</v>
      </c>
      <c r="R8" s="1" t="s">
        <v>19</v>
      </c>
    </row>
    <row r="9" spans="1:18" x14ac:dyDescent="0.35">
      <c r="A9" t="s">
        <v>11</v>
      </c>
      <c r="B9" t="s">
        <v>8</v>
      </c>
      <c r="C9" t="s">
        <v>9</v>
      </c>
      <c r="D9" t="s">
        <v>10</v>
      </c>
      <c r="E9">
        <f t="shared" si="0"/>
        <v>1</v>
      </c>
      <c r="F9">
        <f t="shared" si="1"/>
        <v>0</v>
      </c>
      <c r="G9">
        <f t="shared" si="2"/>
        <v>1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1</v>
      </c>
      <c r="L9">
        <v>4</v>
      </c>
      <c r="M9">
        <v>26.88</v>
      </c>
      <c r="N9">
        <v>3.12</v>
      </c>
      <c r="Q9" s="1" t="s">
        <v>6</v>
      </c>
      <c r="R9" s="1" t="s">
        <v>20</v>
      </c>
    </row>
    <row r="10" spans="1:18" x14ac:dyDescent="0.35">
      <c r="A10" t="s">
        <v>11</v>
      </c>
      <c r="B10" t="s">
        <v>8</v>
      </c>
      <c r="C10" t="s">
        <v>9</v>
      </c>
      <c r="D10" t="s">
        <v>10</v>
      </c>
      <c r="E10">
        <f t="shared" si="0"/>
        <v>1</v>
      </c>
      <c r="F10">
        <f t="shared" si="1"/>
        <v>0</v>
      </c>
      <c r="G10">
        <f t="shared" si="2"/>
        <v>1</v>
      </c>
      <c r="H10">
        <f t="shared" si="3"/>
        <v>0</v>
      </c>
      <c r="I10">
        <f t="shared" si="4"/>
        <v>0</v>
      </c>
      <c r="J10">
        <f t="shared" si="5"/>
        <v>0</v>
      </c>
      <c r="K10">
        <f t="shared" si="6"/>
        <v>1</v>
      </c>
      <c r="L10">
        <v>2</v>
      </c>
      <c r="M10">
        <v>15.04</v>
      </c>
      <c r="N10">
        <v>1.96</v>
      </c>
    </row>
    <row r="11" spans="1:18" x14ac:dyDescent="0.35">
      <c r="A11" t="s">
        <v>11</v>
      </c>
      <c r="B11" t="s">
        <v>8</v>
      </c>
      <c r="C11" t="s">
        <v>9</v>
      </c>
      <c r="D11" t="s">
        <v>10</v>
      </c>
      <c r="E11">
        <f t="shared" si="0"/>
        <v>1</v>
      </c>
      <c r="F11">
        <f t="shared" si="1"/>
        <v>0</v>
      </c>
      <c r="G11">
        <f t="shared" si="2"/>
        <v>1</v>
      </c>
      <c r="H11">
        <f t="shared" si="3"/>
        <v>0</v>
      </c>
      <c r="I11">
        <f t="shared" si="4"/>
        <v>0</v>
      </c>
      <c r="J11">
        <f t="shared" si="5"/>
        <v>0</v>
      </c>
      <c r="K11">
        <f t="shared" si="6"/>
        <v>1</v>
      </c>
      <c r="L11">
        <v>2</v>
      </c>
      <c r="M11">
        <v>14.78</v>
      </c>
      <c r="N11">
        <v>3.23</v>
      </c>
    </row>
    <row r="12" spans="1:18" x14ac:dyDescent="0.35">
      <c r="A12" t="s">
        <v>11</v>
      </c>
      <c r="B12" t="s">
        <v>8</v>
      </c>
      <c r="C12" t="s">
        <v>9</v>
      </c>
      <c r="D12" t="s">
        <v>10</v>
      </c>
      <c r="E12">
        <f t="shared" si="0"/>
        <v>1</v>
      </c>
      <c r="F12">
        <f t="shared" si="1"/>
        <v>0</v>
      </c>
      <c r="G12">
        <f t="shared" si="2"/>
        <v>1</v>
      </c>
      <c r="H12">
        <f t="shared" si="3"/>
        <v>0</v>
      </c>
      <c r="I12">
        <f t="shared" si="4"/>
        <v>0</v>
      </c>
      <c r="J12">
        <f t="shared" si="5"/>
        <v>0</v>
      </c>
      <c r="K12">
        <f t="shared" si="6"/>
        <v>1</v>
      </c>
      <c r="L12">
        <v>2</v>
      </c>
      <c r="M12">
        <v>10.27</v>
      </c>
      <c r="N12">
        <v>1.71</v>
      </c>
    </row>
    <row r="13" spans="1:18" x14ac:dyDescent="0.35">
      <c r="A13" t="s">
        <v>7</v>
      </c>
      <c r="B13" t="s">
        <v>8</v>
      </c>
      <c r="C13" t="s">
        <v>9</v>
      </c>
      <c r="D13" t="s">
        <v>10</v>
      </c>
      <c r="E13">
        <f t="shared" si="0"/>
        <v>0</v>
      </c>
      <c r="F13">
        <f t="shared" si="1"/>
        <v>0</v>
      </c>
      <c r="G13">
        <f t="shared" si="2"/>
        <v>1</v>
      </c>
      <c r="H13">
        <f t="shared" si="3"/>
        <v>0</v>
      </c>
      <c r="I13">
        <f t="shared" si="4"/>
        <v>0</v>
      </c>
      <c r="J13">
        <f t="shared" si="5"/>
        <v>0</v>
      </c>
      <c r="K13">
        <f t="shared" si="6"/>
        <v>1</v>
      </c>
      <c r="L13">
        <v>4</v>
      </c>
      <c r="M13">
        <v>35.26</v>
      </c>
      <c r="N13">
        <v>5</v>
      </c>
    </row>
    <row r="14" spans="1:18" x14ac:dyDescent="0.35">
      <c r="A14" t="s">
        <v>11</v>
      </c>
      <c r="B14" t="s">
        <v>8</v>
      </c>
      <c r="C14" t="s">
        <v>9</v>
      </c>
      <c r="D14" t="s">
        <v>10</v>
      </c>
      <c r="E14">
        <f t="shared" si="0"/>
        <v>1</v>
      </c>
      <c r="F14">
        <f t="shared" si="1"/>
        <v>0</v>
      </c>
      <c r="G14">
        <f t="shared" si="2"/>
        <v>1</v>
      </c>
      <c r="H14">
        <f t="shared" si="3"/>
        <v>0</v>
      </c>
      <c r="I14">
        <f t="shared" si="4"/>
        <v>0</v>
      </c>
      <c r="J14">
        <f t="shared" si="5"/>
        <v>0</v>
      </c>
      <c r="K14">
        <f t="shared" si="6"/>
        <v>1</v>
      </c>
      <c r="L14">
        <v>2</v>
      </c>
      <c r="M14">
        <v>15.42</v>
      </c>
      <c r="N14">
        <v>1.57</v>
      </c>
    </row>
    <row r="15" spans="1:18" x14ac:dyDescent="0.35">
      <c r="A15" t="s">
        <v>11</v>
      </c>
      <c r="B15" t="s">
        <v>8</v>
      </c>
      <c r="C15" t="s">
        <v>9</v>
      </c>
      <c r="D15" t="s">
        <v>10</v>
      </c>
      <c r="E15">
        <f t="shared" si="0"/>
        <v>1</v>
      </c>
      <c r="F15">
        <f t="shared" si="1"/>
        <v>0</v>
      </c>
      <c r="G15">
        <f t="shared" si="2"/>
        <v>1</v>
      </c>
      <c r="H15">
        <f t="shared" si="3"/>
        <v>0</v>
      </c>
      <c r="I15">
        <f t="shared" si="4"/>
        <v>0</v>
      </c>
      <c r="J15">
        <f t="shared" si="5"/>
        <v>0</v>
      </c>
      <c r="K15">
        <f t="shared" si="6"/>
        <v>1</v>
      </c>
      <c r="L15">
        <v>4</v>
      </c>
      <c r="M15">
        <v>18.43</v>
      </c>
      <c r="N15">
        <v>3</v>
      </c>
    </row>
    <row r="16" spans="1:18" x14ac:dyDescent="0.35">
      <c r="A16" t="s">
        <v>7</v>
      </c>
      <c r="B16" t="s">
        <v>8</v>
      </c>
      <c r="C16" t="s">
        <v>9</v>
      </c>
      <c r="D16" t="s">
        <v>10</v>
      </c>
      <c r="E16">
        <f t="shared" si="0"/>
        <v>0</v>
      </c>
      <c r="F16">
        <f t="shared" si="1"/>
        <v>0</v>
      </c>
      <c r="G16">
        <f t="shared" si="2"/>
        <v>1</v>
      </c>
      <c r="H16">
        <f t="shared" si="3"/>
        <v>0</v>
      </c>
      <c r="I16">
        <f t="shared" si="4"/>
        <v>0</v>
      </c>
      <c r="J16">
        <f t="shared" si="5"/>
        <v>0</v>
      </c>
      <c r="K16">
        <f t="shared" si="6"/>
        <v>1</v>
      </c>
      <c r="L16">
        <v>2</v>
      </c>
      <c r="M16">
        <v>14.83</v>
      </c>
      <c r="N16">
        <v>3.02</v>
      </c>
    </row>
    <row r="17" spans="1:14" x14ac:dyDescent="0.35">
      <c r="A17" t="s">
        <v>11</v>
      </c>
      <c r="B17" t="s">
        <v>8</v>
      </c>
      <c r="C17" t="s">
        <v>9</v>
      </c>
      <c r="D17" t="s">
        <v>10</v>
      </c>
      <c r="E17">
        <f t="shared" si="0"/>
        <v>1</v>
      </c>
      <c r="F17">
        <f t="shared" si="1"/>
        <v>0</v>
      </c>
      <c r="G17">
        <f t="shared" si="2"/>
        <v>1</v>
      </c>
      <c r="H17">
        <f t="shared" si="3"/>
        <v>0</v>
      </c>
      <c r="I17">
        <f t="shared" si="4"/>
        <v>0</v>
      </c>
      <c r="J17">
        <f t="shared" si="5"/>
        <v>0</v>
      </c>
      <c r="K17">
        <f t="shared" si="6"/>
        <v>1</v>
      </c>
      <c r="L17">
        <v>2</v>
      </c>
      <c r="M17">
        <v>21.58</v>
      </c>
      <c r="N17">
        <v>3.92</v>
      </c>
    </row>
    <row r="18" spans="1:14" x14ac:dyDescent="0.35">
      <c r="A18" t="s">
        <v>7</v>
      </c>
      <c r="B18" t="s">
        <v>8</v>
      </c>
      <c r="C18" t="s">
        <v>9</v>
      </c>
      <c r="D18" t="s">
        <v>10</v>
      </c>
      <c r="E18">
        <f t="shared" si="0"/>
        <v>0</v>
      </c>
      <c r="F18">
        <f t="shared" si="1"/>
        <v>0</v>
      </c>
      <c r="G18">
        <f t="shared" si="2"/>
        <v>1</v>
      </c>
      <c r="H18">
        <f t="shared" si="3"/>
        <v>0</v>
      </c>
      <c r="I18">
        <f t="shared" si="4"/>
        <v>0</v>
      </c>
      <c r="J18">
        <f t="shared" si="5"/>
        <v>0</v>
      </c>
      <c r="K18">
        <f t="shared" si="6"/>
        <v>1</v>
      </c>
      <c r="L18">
        <v>3</v>
      </c>
      <c r="M18">
        <v>10.33</v>
      </c>
      <c r="N18">
        <v>1.67</v>
      </c>
    </row>
    <row r="19" spans="1:14" x14ac:dyDescent="0.35">
      <c r="A19" t="s">
        <v>11</v>
      </c>
      <c r="B19" t="s">
        <v>8</v>
      </c>
      <c r="C19" t="s">
        <v>9</v>
      </c>
      <c r="D19" t="s">
        <v>10</v>
      </c>
      <c r="E19">
        <f t="shared" si="0"/>
        <v>1</v>
      </c>
      <c r="F19">
        <f t="shared" si="1"/>
        <v>0</v>
      </c>
      <c r="G19">
        <f t="shared" si="2"/>
        <v>1</v>
      </c>
      <c r="H19">
        <f t="shared" si="3"/>
        <v>0</v>
      </c>
      <c r="I19">
        <f t="shared" si="4"/>
        <v>0</v>
      </c>
      <c r="J19">
        <f t="shared" si="5"/>
        <v>0</v>
      </c>
      <c r="K19">
        <f t="shared" si="6"/>
        <v>1</v>
      </c>
      <c r="L19">
        <v>3</v>
      </c>
      <c r="M19">
        <v>16.29</v>
      </c>
      <c r="N19">
        <v>3.71</v>
      </c>
    </row>
    <row r="20" spans="1:14" x14ac:dyDescent="0.35">
      <c r="A20" t="s">
        <v>7</v>
      </c>
      <c r="B20" t="s">
        <v>8</v>
      </c>
      <c r="C20" t="s">
        <v>9</v>
      </c>
      <c r="D20" t="s">
        <v>10</v>
      </c>
      <c r="E20">
        <f t="shared" si="0"/>
        <v>0</v>
      </c>
      <c r="F20">
        <f t="shared" si="1"/>
        <v>0</v>
      </c>
      <c r="G20">
        <f t="shared" si="2"/>
        <v>1</v>
      </c>
      <c r="H20">
        <f t="shared" si="3"/>
        <v>0</v>
      </c>
      <c r="I20">
        <f t="shared" si="4"/>
        <v>0</v>
      </c>
      <c r="J20">
        <f t="shared" si="5"/>
        <v>0</v>
      </c>
      <c r="K20">
        <f t="shared" si="6"/>
        <v>1</v>
      </c>
      <c r="L20">
        <v>3</v>
      </c>
      <c r="M20">
        <v>16.97</v>
      </c>
      <c r="N20">
        <v>3.5</v>
      </c>
    </row>
    <row r="21" spans="1:14" x14ac:dyDescent="0.35">
      <c r="A21" t="s">
        <v>11</v>
      </c>
      <c r="B21" t="s">
        <v>8</v>
      </c>
      <c r="C21" t="s">
        <v>21</v>
      </c>
      <c r="D21" t="s">
        <v>10</v>
      </c>
      <c r="E21">
        <f t="shared" si="0"/>
        <v>1</v>
      </c>
      <c r="F21">
        <f t="shared" si="1"/>
        <v>0</v>
      </c>
      <c r="G21">
        <f t="shared" si="2"/>
        <v>1</v>
      </c>
      <c r="H21">
        <f t="shared" si="3"/>
        <v>0</v>
      </c>
      <c r="I21">
        <f t="shared" si="4"/>
        <v>0</v>
      </c>
      <c r="J21">
        <f t="shared" si="5"/>
        <v>1</v>
      </c>
      <c r="K21">
        <f t="shared" si="6"/>
        <v>0</v>
      </c>
      <c r="L21">
        <v>3</v>
      </c>
      <c r="M21">
        <v>20.65</v>
      </c>
      <c r="N21">
        <v>3.35</v>
      </c>
    </row>
    <row r="22" spans="1:14" x14ac:dyDescent="0.35">
      <c r="A22" t="s">
        <v>11</v>
      </c>
      <c r="B22" t="s">
        <v>8</v>
      </c>
      <c r="C22" t="s">
        <v>21</v>
      </c>
      <c r="D22" t="s">
        <v>10</v>
      </c>
      <c r="E22">
        <f t="shared" si="0"/>
        <v>1</v>
      </c>
      <c r="F22">
        <f t="shared" si="1"/>
        <v>0</v>
      </c>
      <c r="G22">
        <f t="shared" si="2"/>
        <v>1</v>
      </c>
      <c r="H22">
        <f t="shared" si="3"/>
        <v>0</v>
      </c>
      <c r="I22">
        <f t="shared" si="4"/>
        <v>0</v>
      </c>
      <c r="J22">
        <f t="shared" si="5"/>
        <v>1</v>
      </c>
      <c r="K22">
        <f t="shared" si="6"/>
        <v>0</v>
      </c>
      <c r="L22">
        <v>2</v>
      </c>
      <c r="M22">
        <v>17.920000000000002</v>
      </c>
      <c r="N22">
        <v>4.08</v>
      </c>
    </row>
    <row r="23" spans="1:14" x14ac:dyDescent="0.35">
      <c r="A23" t="s">
        <v>7</v>
      </c>
      <c r="B23" t="s">
        <v>8</v>
      </c>
      <c r="C23" t="s">
        <v>21</v>
      </c>
      <c r="D23" t="s">
        <v>10</v>
      </c>
      <c r="E23">
        <f t="shared" si="0"/>
        <v>0</v>
      </c>
      <c r="F23">
        <f t="shared" si="1"/>
        <v>0</v>
      </c>
      <c r="G23">
        <f t="shared" si="2"/>
        <v>1</v>
      </c>
      <c r="H23">
        <f t="shared" si="3"/>
        <v>0</v>
      </c>
      <c r="I23">
        <f t="shared" si="4"/>
        <v>0</v>
      </c>
      <c r="J23">
        <f t="shared" si="5"/>
        <v>1</v>
      </c>
      <c r="K23">
        <f t="shared" si="6"/>
        <v>0</v>
      </c>
      <c r="L23">
        <v>2</v>
      </c>
      <c r="M23">
        <v>20.29</v>
      </c>
      <c r="N23">
        <v>2.75</v>
      </c>
    </row>
    <row r="24" spans="1:14" x14ac:dyDescent="0.35">
      <c r="A24" t="s">
        <v>7</v>
      </c>
      <c r="B24" t="s">
        <v>8</v>
      </c>
      <c r="C24" t="s">
        <v>21</v>
      </c>
      <c r="D24" t="s">
        <v>10</v>
      </c>
      <c r="E24">
        <f t="shared" si="0"/>
        <v>0</v>
      </c>
      <c r="F24">
        <f t="shared" si="1"/>
        <v>0</v>
      </c>
      <c r="G24">
        <f t="shared" si="2"/>
        <v>1</v>
      </c>
      <c r="H24">
        <f t="shared" si="3"/>
        <v>0</v>
      </c>
      <c r="I24">
        <f t="shared" si="4"/>
        <v>0</v>
      </c>
      <c r="J24">
        <f t="shared" si="5"/>
        <v>1</v>
      </c>
      <c r="K24">
        <f t="shared" si="6"/>
        <v>0</v>
      </c>
      <c r="L24">
        <v>2</v>
      </c>
      <c r="M24">
        <v>15.77</v>
      </c>
      <c r="N24">
        <v>2.23</v>
      </c>
    </row>
    <row r="25" spans="1:14" x14ac:dyDescent="0.35">
      <c r="A25" t="s">
        <v>11</v>
      </c>
      <c r="B25" t="s">
        <v>8</v>
      </c>
      <c r="C25" t="s">
        <v>21</v>
      </c>
      <c r="D25" t="s">
        <v>10</v>
      </c>
      <c r="E25">
        <f t="shared" si="0"/>
        <v>1</v>
      </c>
      <c r="F25">
        <f t="shared" si="1"/>
        <v>0</v>
      </c>
      <c r="G25">
        <f t="shared" si="2"/>
        <v>1</v>
      </c>
      <c r="H25">
        <f t="shared" si="3"/>
        <v>0</v>
      </c>
      <c r="I25">
        <f t="shared" si="4"/>
        <v>0</v>
      </c>
      <c r="J25">
        <f t="shared" si="5"/>
        <v>1</v>
      </c>
      <c r="K25">
        <f t="shared" si="6"/>
        <v>0</v>
      </c>
      <c r="L25">
        <v>4</v>
      </c>
      <c r="M25">
        <v>39.42</v>
      </c>
      <c r="N25">
        <v>7.58</v>
      </c>
    </row>
    <row r="26" spans="1:14" x14ac:dyDescent="0.35">
      <c r="A26" t="s">
        <v>11</v>
      </c>
      <c r="B26" t="s">
        <v>8</v>
      </c>
      <c r="C26" t="s">
        <v>21</v>
      </c>
      <c r="D26" t="s">
        <v>10</v>
      </c>
      <c r="E26">
        <f t="shared" si="0"/>
        <v>1</v>
      </c>
      <c r="F26">
        <f t="shared" si="1"/>
        <v>0</v>
      </c>
      <c r="G26">
        <f t="shared" si="2"/>
        <v>1</v>
      </c>
      <c r="H26">
        <f t="shared" si="3"/>
        <v>0</v>
      </c>
      <c r="I26">
        <f t="shared" si="4"/>
        <v>0</v>
      </c>
      <c r="J26">
        <f t="shared" si="5"/>
        <v>1</v>
      </c>
      <c r="K26">
        <f t="shared" si="6"/>
        <v>0</v>
      </c>
      <c r="L26">
        <v>2</v>
      </c>
      <c r="M26">
        <v>19.82</v>
      </c>
      <c r="N26">
        <v>3.18</v>
      </c>
    </row>
    <row r="27" spans="1:14" x14ac:dyDescent="0.35">
      <c r="A27" t="s">
        <v>11</v>
      </c>
      <c r="B27" t="s">
        <v>8</v>
      </c>
      <c r="C27" t="s">
        <v>21</v>
      </c>
      <c r="D27" t="s">
        <v>10</v>
      </c>
      <c r="E27">
        <f t="shared" si="0"/>
        <v>1</v>
      </c>
      <c r="F27">
        <f t="shared" si="1"/>
        <v>0</v>
      </c>
      <c r="G27">
        <f t="shared" si="2"/>
        <v>1</v>
      </c>
      <c r="H27">
        <f t="shared" si="3"/>
        <v>0</v>
      </c>
      <c r="I27">
        <f t="shared" si="4"/>
        <v>0</v>
      </c>
      <c r="J27">
        <f t="shared" si="5"/>
        <v>1</v>
      </c>
      <c r="K27">
        <f t="shared" si="6"/>
        <v>0</v>
      </c>
      <c r="L27">
        <v>4</v>
      </c>
      <c r="M27">
        <v>17.809999999999999</v>
      </c>
      <c r="N27">
        <v>2.34</v>
      </c>
    </row>
    <row r="28" spans="1:14" x14ac:dyDescent="0.35">
      <c r="A28" t="s">
        <v>11</v>
      </c>
      <c r="B28" t="s">
        <v>8</v>
      </c>
      <c r="C28" t="s">
        <v>21</v>
      </c>
      <c r="D28" t="s">
        <v>10</v>
      </c>
      <c r="E28">
        <f t="shared" si="0"/>
        <v>1</v>
      </c>
      <c r="F28">
        <f t="shared" si="1"/>
        <v>0</v>
      </c>
      <c r="G28">
        <f t="shared" si="2"/>
        <v>1</v>
      </c>
      <c r="H28">
        <f t="shared" si="3"/>
        <v>0</v>
      </c>
      <c r="I28">
        <f t="shared" si="4"/>
        <v>0</v>
      </c>
      <c r="J28">
        <f t="shared" si="5"/>
        <v>1</v>
      </c>
      <c r="K28">
        <f t="shared" si="6"/>
        <v>0</v>
      </c>
      <c r="L28">
        <v>2</v>
      </c>
      <c r="M28">
        <v>13.37</v>
      </c>
      <c r="N28">
        <v>2</v>
      </c>
    </row>
    <row r="29" spans="1:14" x14ac:dyDescent="0.35">
      <c r="A29" t="s">
        <v>11</v>
      </c>
      <c r="B29" t="s">
        <v>8</v>
      </c>
      <c r="C29" t="s">
        <v>21</v>
      </c>
      <c r="D29" t="s">
        <v>10</v>
      </c>
      <c r="E29">
        <f t="shared" si="0"/>
        <v>1</v>
      </c>
      <c r="F29">
        <f t="shared" si="1"/>
        <v>0</v>
      </c>
      <c r="G29">
        <f t="shared" si="2"/>
        <v>1</v>
      </c>
      <c r="H29">
        <f t="shared" si="3"/>
        <v>0</v>
      </c>
      <c r="I29">
        <f t="shared" si="4"/>
        <v>0</v>
      </c>
      <c r="J29">
        <f t="shared" si="5"/>
        <v>1</v>
      </c>
      <c r="K29">
        <f t="shared" si="6"/>
        <v>0</v>
      </c>
      <c r="L29">
        <v>2</v>
      </c>
      <c r="M29">
        <v>12.69</v>
      </c>
      <c r="N29">
        <v>2</v>
      </c>
    </row>
    <row r="30" spans="1:14" x14ac:dyDescent="0.35">
      <c r="A30" t="s">
        <v>11</v>
      </c>
      <c r="B30" t="s">
        <v>8</v>
      </c>
      <c r="C30" t="s">
        <v>21</v>
      </c>
      <c r="D30" t="s">
        <v>10</v>
      </c>
      <c r="E30">
        <f t="shared" si="0"/>
        <v>1</v>
      </c>
      <c r="F30">
        <f t="shared" si="1"/>
        <v>0</v>
      </c>
      <c r="G30">
        <f t="shared" si="2"/>
        <v>1</v>
      </c>
      <c r="H30">
        <f t="shared" si="3"/>
        <v>0</v>
      </c>
      <c r="I30">
        <f t="shared" si="4"/>
        <v>0</v>
      </c>
      <c r="J30">
        <f t="shared" si="5"/>
        <v>1</v>
      </c>
      <c r="K30">
        <f t="shared" si="6"/>
        <v>0</v>
      </c>
      <c r="L30">
        <v>2</v>
      </c>
      <c r="M30">
        <v>21.7</v>
      </c>
      <c r="N30">
        <v>4.3</v>
      </c>
    </row>
    <row r="31" spans="1:14" x14ac:dyDescent="0.35">
      <c r="A31" t="s">
        <v>7</v>
      </c>
      <c r="B31" t="s">
        <v>8</v>
      </c>
      <c r="C31" t="s">
        <v>21</v>
      </c>
      <c r="D31" t="s">
        <v>10</v>
      </c>
      <c r="E31">
        <f t="shared" si="0"/>
        <v>0</v>
      </c>
      <c r="F31">
        <f t="shared" si="1"/>
        <v>0</v>
      </c>
      <c r="G31">
        <f t="shared" si="2"/>
        <v>1</v>
      </c>
      <c r="H31">
        <f t="shared" si="3"/>
        <v>0</v>
      </c>
      <c r="I31">
        <f t="shared" si="4"/>
        <v>0</v>
      </c>
      <c r="J31">
        <f t="shared" si="5"/>
        <v>1</v>
      </c>
      <c r="K31">
        <f t="shared" si="6"/>
        <v>0</v>
      </c>
      <c r="L31">
        <v>2</v>
      </c>
      <c r="M31">
        <v>19.649999999999999</v>
      </c>
      <c r="N31">
        <v>3</v>
      </c>
    </row>
    <row r="32" spans="1:14" x14ac:dyDescent="0.35">
      <c r="A32" t="s">
        <v>11</v>
      </c>
      <c r="B32" t="s">
        <v>8</v>
      </c>
      <c r="C32" t="s">
        <v>21</v>
      </c>
      <c r="D32" t="s">
        <v>10</v>
      </c>
      <c r="E32">
        <f t="shared" si="0"/>
        <v>1</v>
      </c>
      <c r="F32">
        <f t="shared" si="1"/>
        <v>0</v>
      </c>
      <c r="G32">
        <f t="shared" si="2"/>
        <v>1</v>
      </c>
      <c r="H32">
        <f t="shared" si="3"/>
        <v>0</v>
      </c>
      <c r="I32">
        <f t="shared" si="4"/>
        <v>0</v>
      </c>
      <c r="J32">
        <f t="shared" si="5"/>
        <v>1</v>
      </c>
      <c r="K32">
        <f t="shared" si="6"/>
        <v>0</v>
      </c>
      <c r="L32">
        <v>2</v>
      </c>
      <c r="M32">
        <v>9.5500000000000007</v>
      </c>
      <c r="N32">
        <v>1.45</v>
      </c>
    </row>
    <row r="33" spans="1:14" x14ac:dyDescent="0.35">
      <c r="A33" t="s">
        <v>11</v>
      </c>
      <c r="B33" t="s">
        <v>8</v>
      </c>
      <c r="C33" t="s">
        <v>21</v>
      </c>
      <c r="D33" t="s">
        <v>10</v>
      </c>
      <c r="E33">
        <f t="shared" si="0"/>
        <v>1</v>
      </c>
      <c r="F33">
        <f t="shared" si="1"/>
        <v>0</v>
      </c>
      <c r="G33">
        <f t="shared" si="2"/>
        <v>1</v>
      </c>
      <c r="H33">
        <f t="shared" si="3"/>
        <v>0</v>
      </c>
      <c r="I33">
        <f t="shared" si="4"/>
        <v>0</v>
      </c>
      <c r="J33">
        <f t="shared" si="5"/>
        <v>1</v>
      </c>
      <c r="K33">
        <f t="shared" si="6"/>
        <v>0</v>
      </c>
      <c r="L33">
        <v>4</v>
      </c>
      <c r="M33">
        <v>18.350000000000001</v>
      </c>
      <c r="N33">
        <v>2.5</v>
      </c>
    </row>
    <row r="34" spans="1:14" x14ac:dyDescent="0.35">
      <c r="A34" t="s">
        <v>7</v>
      </c>
      <c r="B34" t="s">
        <v>8</v>
      </c>
      <c r="C34" t="s">
        <v>21</v>
      </c>
      <c r="D34" t="s">
        <v>10</v>
      </c>
      <c r="E34">
        <f t="shared" si="0"/>
        <v>0</v>
      </c>
      <c r="F34">
        <f t="shared" si="1"/>
        <v>0</v>
      </c>
      <c r="G34">
        <f t="shared" si="2"/>
        <v>1</v>
      </c>
      <c r="H34">
        <f t="shared" si="3"/>
        <v>0</v>
      </c>
      <c r="I34">
        <f t="shared" si="4"/>
        <v>0</v>
      </c>
      <c r="J34">
        <f t="shared" si="5"/>
        <v>1</v>
      </c>
      <c r="K34">
        <f t="shared" si="6"/>
        <v>0</v>
      </c>
      <c r="L34">
        <v>2</v>
      </c>
      <c r="M34">
        <v>15.06</v>
      </c>
      <c r="N34">
        <v>3</v>
      </c>
    </row>
    <row r="35" spans="1:14" x14ac:dyDescent="0.35">
      <c r="A35" t="s">
        <v>7</v>
      </c>
      <c r="B35" t="s">
        <v>8</v>
      </c>
      <c r="C35" t="s">
        <v>21</v>
      </c>
      <c r="D35" t="s">
        <v>10</v>
      </c>
      <c r="E35">
        <f t="shared" si="0"/>
        <v>0</v>
      </c>
      <c r="F35">
        <f t="shared" si="1"/>
        <v>0</v>
      </c>
      <c r="G35">
        <f t="shared" si="2"/>
        <v>1</v>
      </c>
      <c r="H35">
        <f t="shared" si="3"/>
        <v>0</v>
      </c>
      <c r="I35">
        <f t="shared" si="4"/>
        <v>0</v>
      </c>
      <c r="J35">
        <f t="shared" si="5"/>
        <v>1</v>
      </c>
      <c r="K35">
        <f t="shared" si="6"/>
        <v>0</v>
      </c>
      <c r="L35">
        <v>4</v>
      </c>
      <c r="M35">
        <v>20.69</v>
      </c>
      <c r="N35">
        <v>2.4500000000000002</v>
      </c>
    </row>
    <row r="36" spans="1:14" x14ac:dyDescent="0.35">
      <c r="A36" t="s">
        <v>11</v>
      </c>
      <c r="B36" t="s">
        <v>8</v>
      </c>
      <c r="C36" t="s">
        <v>21</v>
      </c>
      <c r="D36" t="s">
        <v>10</v>
      </c>
      <c r="E36">
        <f t="shared" si="0"/>
        <v>1</v>
      </c>
      <c r="F36">
        <f t="shared" si="1"/>
        <v>0</v>
      </c>
      <c r="G36">
        <f t="shared" si="2"/>
        <v>1</v>
      </c>
      <c r="H36">
        <f t="shared" si="3"/>
        <v>0</v>
      </c>
      <c r="I36">
        <f t="shared" si="4"/>
        <v>0</v>
      </c>
      <c r="J36">
        <f t="shared" si="5"/>
        <v>1</v>
      </c>
      <c r="K36">
        <f t="shared" si="6"/>
        <v>0</v>
      </c>
      <c r="L36">
        <v>2</v>
      </c>
      <c r="M36">
        <v>17.78</v>
      </c>
      <c r="N36">
        <v>3.27</v>
      </c>
    </row>
    <row r="37" spans="1:14" x14ac:dyDescent="0.35">
      <c r="A37" t="s">
        <v>11</v>
      </c>
      <c r="B37" t="s">
        <v>8</v>
      </c>
      <c r="C37" t="s">
        <v>21</v>
      </c>
      <c r="D37" t="s">
        <v>10</v>
      </c>
      <c r="E37">
        <f t="shared" si="0"/>
        <v>1</v>
      </c>
      <c r="F37">
        <f t="shared" si="1"/>
        <v>0</v>
      </c>
      <c r="G37">
        <f t="shared" si="2"/>
        <v>1</v>
      </c>
      <c r="H37">
        <f t="shared" si="3"/>
        <v>0</v>
      </c>
      <c r="I37">
        <f t="shared" si="4"/>
        <v>0</v>
      </c>
      <c r="J37">
        <f t="shared" si="5"/>
        <v>1</v>
      </c>
      <c r="K37">
        <f t="shared" si="6"/>
        <v>0</v>
      </c>
      <c r="L37">
        <v>3</v>
      </c>
      <c r="M37">
        <v>24.06</v>
      </c>
      <c r="N37">
        <v>3.6</v>
      </c>
    </row>
    <row r="38" spans="1:14" x14ac:dyDescent="0.35">
      <c r="A38" t="s">
        <v>11</v>
      </c>
      <c r="B38" t="s">
        <v>8</v>
      </c>
      <c r="C38" t="s">
        <v>21</v>
      </c>
      <c r="D38" t="s">
        <v>10</v>
      </c>
      <c r="E38">
        <f t="shared" si="0"/>
        <v>1</v>
      </c>
      <c r="F38">
        <f t="shared" si="1"/>
        <v>0</v>
      </c>
      <c r="G38">
        <f t="shared" si="2"/>
        <v>1</v>
      </c>
      <c r="H38">
        <f t="shared" si="3"/>
        <v>0</v>
      </c>
      <c r="I38">
        <f t="shared" si="4"/>
        <v>0</v>
      </c>
      <c r="J38">
        <f t="shared" si="5"/>
        <v>1</v>
      </c>
      <c r="K38">
        <f t="shared" si="6"/>
        <v>0</v>
      </c>
      <c r="L38">
        <v>3</v>
      </c>
      <c r="M38">
        <v>16.309999999999999</v>
      </c>
      <c r="N38">
        <v>2</v>
      </c>
    </row>
    <row r="39" spans="1:14" x14ac:dyDescent="0.35">
      <c r="A39" t="s">
        <v>7</v>
      </c>
      <c r="B39" t="s">
        <v>8</v>
      </c>
      <c r="C39" t="s">
        <v>21</v>
      </c>
      <c r="D39" t="s">
        <v>10</v>
      </c>
      <c r="E39">
        <f t="shared" si="0"/>
        <v>0</v>
      </c>
      <c r="F39">
        <f t="shared" si="1"/>
        <v>0</v>
      </c>
      <c r="G39">
        <f t="shared" si="2"/>
        <v>1</v>
      </c>
      <c r="H39">
        <f t="shared" si="3"/>
        <v>0</v>
      </c>
      <c r="I39">
        <f t="shared" si="4"/>
        <v>0</v>
      </c>
      <c r="J39">
        <f t="shared" si="5"/>
        <v>1</v>
      </c>
      <c r="K39">
        <f t="shared" si="6"/>
        <v>0</v>
      </c>
      <c r="L39">
        <v>3</v>
      </c>
      <c r="M39">
        <v>16.93</v>
      </c>
      <c r="N39">
        <v>3.07</v>
      </c>
    </row>
    <row r="40" spans="1:14" x14ac:dyDescent="0.35">
      <c r="A40" t="s">
        <v>11</v>
      </c>
      <c r="B40" t="s">
        <v>8</v>
      </c>
      <c r="C40" t="s">
        <v>21</v>
      </c>
      <c r="D40" t="s">
        <v>10</v>
      </c>
      <c r="E40">
        <f t="shared" si="0"/>
        <v>1</v>
      </c>
      <c r="F40">
        <f t="shared" si="1"/>
        <v>0</v>
      </c>
      <c r="G40">
        <f t="shared" si="2"/>
        <v>1</v>
      </c>
      <c r="H40">
        <f t="shared" si="3"/>
        <v>0</v>
      </c>
      <c r="I40">
        <f t="shared" si="4"/>
        <v>0</v>
      </c>
      <c r="J40">
        <f t="shared" si="5"/>
        <v>1</v>
      </c>
      <c r="K40">
        <f t="shared" si="6"/>
        <v>0</v>
      </c>
      <c r="L40">
        <v>3</v>
      </c>
      <c r="M40">
        <v>18.690000000000001</v>
      </c>
      <c r="N40">
        <v>2.31</v>
      </c>
    </row>
    <row r="41" spans="1:14" x14ac:dyDescent="0.35">
      <c r="A41" t="s">
        <v>11</v>
      </c>
      <c r="B41" t="s">
        <v>8</v>
      </c>
      <c r="C41" t="s">
        <v>21</v>
      </c>
      <c r="D41" t="s">
        <v>10</v>
      </c>
      <c r="E41">
        <f t="shared" si="0"/>
        <v>1</v>
      </c>
      <c r="F41">
        <f t="shared" si="1"/>
        <v>0</v>
      </c>
      <c r="G41">
        <f t="shared" si="2"/>
        <v>1</v>
      </c>
      <c r="H41">
        <f t="shared" si="3"/>
        <v>0</v>
      </c>
      <c r="I41">
        <f t="shared" si="4"/>
        <v>0</v>
      </c>
      <c r="J41">
        <f t="shared" si="5"/>
        <v>1</v>
      </c>
      <c r="K41">
        <f t="shared" si="6"/>
        <v>0</v>
      </c>
      <c r="L41">
        <v>3</v>
      </c>
      <c r="M41">
        <v>31.27</v>
      </c>
      <c r="N41">
        <v>5</v>
      </c>
    </row>
    <row r="42" spans="1:14" x14ac:dyDescent="0.35">
      <c r="A42" t="s">
        <v>11</v>
      </c>
      <c r="B42" t="s">
        <v>8</v>
      </c>
      <c r="C42" t="s">
        <v>21</v>
      </c>
      <c r="D42" t="s">
        <v>10</v>
      </c>
      <c r="E42">
        <f t="shared" si="0"/>
        <v>1</v>
      </c>
      <c r="F42">
        <f t="shared" si="1"/>
        <v>0</v>
      </c>
      <c r="G42">
        <f t="shared" si="2"/>
        <v>1</v>
      </c>
      <c r="H42">
        <f t="shared" si="3"/>
        <v>0</v>
      </c>
      <c r="I42">
        <f t="shared" si="4"/>
        <v>0</v>
      </c>
      <c r="J42">
        <f t="shared" si="5"/>
        <v>1</v>
      </c>
      <c r="K42">
        <f t="shared" si="6"/>
        <v>0</v>
      </c>
      <c r="L42">
        <v>3</v>
      </c>
      <c r="M42">
        <v>16.04</v>
      </c>
      <c r="N42">
        <v>2.2400000000000002</v>
      </c>
    </row>
    <row r="43" spans="1:14" x14ac:dyDescent="0.35">
      <c r="A43" t="s">
        <v>11</v>
      </c>
      <c r="B43" t="s">
        <v>8</v>
      </c>
      <c r="C43" t="s">
        <v>9</v>
      </c>
      <c r="D43" t="s">
        <v>10</v>
      </c>
      <c r="E43">
        <f t="shared" si="0"/>
        <v>1</v>
      </c>
      <c r="F43">
        <f t="shared" si="1"/>
        <v>0</v>
      </c>
      <c r="G43">
        <f t="shared" si="2"/>
        <v>1</v>
      </c>
      <c r="H43">
        <f t="shared" si="3"/>
        <v>0</v>
      </c>
      <c r="I43">
        <f t="shared" si="4"/>
        <v>0</v>
      </c>
      <c r="J43">
        <f t="shared" si="5"/>
        <v>0</v>
      </c>
      <c r="K43">
        <f t="shared" si="6"/>
        <v>1</v>
      </c>
      <c r="L43">
        <v>2</v>
      </c>
      <c r="M43">
        <v>17.46</v>
      </c>
      <c r="N43">
        <v>2.54</v>
      </c>
    </row>
    <row r="44" spans="1:14" x14ac:dyDescent="0.35">
      <c r="A44" t="s">
        <v>11</v>
      </c>
      <c r="B44" t="s">
        <v>8</v>
      </c>
      <c r="C44" t="s">
        <v>9</v>
      </c>
      <c r="D44" t="s">
        <v>10</v>
      </c>
      <c r="E44">
        <f t="shared" si="0"/>
        <v>1</v>
      </c>
      <c r="F44">
        <f t="shared" si="1"/>
        <v>0</v>
      </c>
      <c r="G44">
        <f t="shared" si="2"/>
        <v>1</v>
      </c>
      <c r="H44">
        <f t="shared" si="3"/>
        <v>0</v>
      </c>
      <c r="I44">
        <f t="shared" si="4"/>
        <v>0</v>
      </c>
      <c r="J44">
        <f t="shared" si="5"/>
        <v>0</v>
      </c>
      <c r="K44">
        <f t="shared" si="6"/>
        <v>1</v>
      </c>
      <c r="L44">
        <v>2</v>
      </c>
      <c r="M44">
        <v>13.94</v>
      </c>
      <c r="N44">
        <v>3.06</v>
      </c>
    </row>
    <row r="45" spans="1:14" x14ac:dyDescent="0.35">
      <c r="A45" t="s">
        <v>11</v>
      </c>
      <c r="B45" t="s">
        <v>8</v>
      </c>
      <c r="C45" t="s">
        <v>9</v>
      </c>
      <c r="D45" t="s">
        <v>10</v>
      </c>
      <c r="E45">
        <f t="shared" si="0"/>
        <v>1</v>
      </c>
      <c r="F45">
        <f t="shared" si="1"/>
        <v>0</v>
      </c>
      <c r="G45">
        <f t="shared" si="2"/>
        <v>1</v>
      </c>
      <c r="H45">
        <f t="shared" si="3"/>
        <v>0</v>
      </c>
      <c r="I45">
        <f t="shared" si="4"/>
        <v>0</v>
      </c>
      <c r="J45">
        <f t="shared" si="5"/>
        <v>0</v>
      </c>
      <c r="K45">
        <f t="shared" si="6"/>
        <v>1</v>
      </c>
      <c r="L45">
        <v>2</v>
      </c>
      <c r="M45">
        <v>9.68</v>
      </c>
      <c r="N45">
        <v>1.32</v>
      </c>
    </row>
    <row r="46" spans="1:14" x14ac:dyDescent="0.35">
      <c r="A46" t="s">
        <v>11</v>
      </c>
      <c r="B46" t="s">
        <v>8</v>
      </c>
      <c r="C46" t="s">
        <v>9</v>
      </c>
      <c r="D46" t="s">
        <v>10</v>
      </c>
      <c r="E46">
        <f t="shared" si="0"/>
        <v>1</v>
      </c>
      <c r="F46">
        <f t="shared" si="1"/>
        <v>0</v>
      </c>
      <c r="G46">
        <f t="shared" si="2"/>
        <v>1</v>
      </c>
      <c r="H46">
        <f t="shared" si="3"/>
        <v>0</v>
      </c>
      <c r="I46">
        <f t="shared" si="4"/>
        <v>0</v>
      </c>
      <c r="J46">
        <f t="shared" si="5"/>
        <v>0</v>
      </c>
      <c r="K46">
        <f t="shared" si="6"/>
        <v>1</v>
      </c>
      <c r="L46">
        <v>4</v>
      </c>
      <c r="M46">
        <v>30.4</v>
      </c>
      <c r="N46">
        <v>5.6</v>
      </c>
    </row>
    <row r="47" spans="1:14" x14ac:dyDescent="0.35">
      <c r="A47" t="s">
        <v>11</v>
      </c>
      <c r="B47" t="s">
        <v>8</v>
      </c>
      <c r="C47" t="s">
        <v>9</v>
      </c>
      <c r="D47" t="s">
        <v>10</v>
      </c>
      <c r="E47">
        <f t="shared" si="0"/>
        <v>1</v>
      </c>
      <c r="F47">
        <f t="shared" si="1"/>
        <v>0</v>
      </c>
      <c r="G47">
        <f t="shared" si="2"/>
        <v>1</v>
      </c>
      <c r="H47">
        <f t="shared" si="3"/>
        <v>0</v>
      </c>
      <c r="I47">
        <f t="shared" si="4"/>
        <v>0</v>
      </c>
      <c r="J47">
        <f t="shared" si="5"/>
        <v>0</v>
      </c>
      <c r="K47">
        <f t="shared" si="6"/>
        <v>1</v>
      </c>
      <c r="L47">
        <v>2</v>
      </c>
      <c r="M47">
        <v>18.29</v>
      </c>
      <c r="N47">
        <v>3</v>
      </c>
    </row>
    <row r="48" spans="1:14" x14ac:dyDescent="0.35">
      <c r="A48" t="s">
        <v>11</v>
      </c>
      <c r="B48" t="s">
        <v>8</v>
      </c>
      <c r="C48" t="s">
        <v>9</v>
      </c>
      <c r="D48" t="s">
        <v>10</v>
      </c>
      <c r="E48">
        <f t="shared" si="0"/>
        <v>1</v>
      </c>
      <c r="F48">
        <f t="shared" si="1"/>
        <v>0</v>
      </c>
      <c r="G48">
        <f t="shared" si="2"/>
        <v>1</v>
      </c>
      <c r="H48">
        <f t="shared" si="3"/>
        <v>0</v>
      </c>
      <c r="I48">
        <f t="shared" si="4"/>
        <v>0</v>
      </c>
      <c r="J48">
        <f t="shared" si="5"/>
        <v>0</v>
      </c>
      <c r="K48">
        <f t="shared" si="6"/>
        <v>1</v>
      </c>
      <c r="L48">
        <v>2</v>
      </c>
      <c r="M48">
        <v>22.23</v>
      </c>
      <c r="N48">
        <v>5</v>
      </c>
    </row>
    <row r="49" spans="1:14" x14ac:dyDescent="0.35">
      <c r="A49" t="s">
        <v>11</v>
      </c>
      <c r="B49" t="s">
        <v>8</v>
      </c>
      <c r="C49" t="s">
        <v>9</v>
      </c>
      <c r="D49" t="s">
        <v>10</v>
      </c>
      <c r="E49">
        <f t="shared" si="0"/>
        <v>1</v>
      </c>
      <c r="F49">
        <f t="shared" si="1"/>
        <v>0</v>
      </c>
      <c r="G49">
        <f t="shared" si="2"/>
        <v>1</v>
      </c>
      <c r="H49">
        <f t="shared" si="3"/>
        <v>0</v>
      </c>
      <c r="I49">
        <f t="shared" si="4"/>
        <v>0</v>
      </c>
      <c r="J49">
        <f t="shared" si="5"/>
        <v>0</v>
      </c>
      <c r="K49">
        <f t="shared" si="6"/>
        <v>1</v>
      </c>
      <c r="L49">
        <v>4</v>
      </c>
      <c r="M49">
        <v>32.4</v>
      </c>
      <c r="N49">
        <v>6</v>
      </c>
    </row>
    <row r="50" spans="1:14" x14ac:dyDescent="0.35">
      <c r="A50" t="s">
        <v>11</v>
      </c>
      <c r="B50" t="s">
        <v>8</v>
      </c>
      <c r="C50" t="s">
        <v>9</v>
      </c>
      <c r="D50" t="s">
        <v>10</v>
      </c>
      <c r="E50">
        <f t="shared" si="0"/>
        <v>1</v>
      </c>
      <c r="F50">
        <f t="shared" si="1"/>
        <v>0</v>
      </c>
      <c r="G50">
        <f t="shared" si="2"/>
        <v>1</v>
      </c>
      <c r="H50">
        <f t="shared" si="3"/>
        <v>0</v>
      </c>
      <c r="I50">
        <f t="shared" si="4"/>
        <v>0</v>
      </c>
      <c r="J50">
        <f t="shared" si="5"/>
        <v>0</v>
      </c>
      <c r="K50">
        <f t="shared" si="6"/>
        <v>1</v>
      </c>
      <c r="L50">
        <v>3</v>
      </c>
      <c r="M50">
        <v>28.55</v>
      </c>
      <c r="N50">
        <v>2.0499999999999998</v>
      </c>
    </row>
    <row r="51" spans="1:14" x14ac:dyDescent="0.35">
      <c r="A51" t="s">
        <v>11</v>
      </c>
      <c r="B51" t="s">
        <v>8</v>
      </c>
      <c r="C51" t="s">
        <v>9</v>
      </c>
      <c r="D51" t="s">
        <v>10</v>
      </c>
      <c r="E51">
        <f t="shared" si="0"/>
        <v>1</v>
      </c>
      <c r="F51">
        <f t="shared" si="1"/>
        <v>0</v>
      </c>
      <c r="G51">
        <f t="shared" si="2"/>
        <v>1</v>
      </c>
      <c r="H51">
        <f t="shared" si="3"/>
        <v>0</v>
      </c>
      <c r="I51">
        <f t="shared" si="4"/>
        <v>0</v>
      </c>
      <c r="J51">
        <f t="shared" si="5"/>
        <v>0</v>
      </c>
      <c r="K51">
        <f t="shared" si="6"/>
        <v>1</v>
      </c>
      <c r="L51">
        <v>2</v>
      </c>
      <c r="M51">
        <v>18.04</v>
      </c>
      <c r="N51">
        <v>3</v>
      </c>
    </row>
    <row r="52" spans="1:14" x14ac:dyDescent="0.35">
      <c r="A52" t="s">
        <v>11</v>
      </c>
      <c r="B52" t="s">
        <v>8</v>
      </c>
      <c r="C52" t="s">
        <v>9</v>
      </c>
      <c r="D52" t="s">
        <v>10</v>
      </c>
      <c r="E52">
        <f t="shared" si="0"/>
        <v>1</v>
      </c>
      <c r="F52">
        <f t="shared" si="1"/>
        <v>0</v>
      </c>
      <c r="G52">
        <f t="shared" si="2"/>
        <v>1</v>
      </c>
      <c r="H52">
        <f t="shared" si="3"/>
        <v>0</v>
      </c>
      <c r="I52">
        <f t="shared" si="4"/>
        <v>0</v>
      </c>
      <c r="J52">
        <f t="shared" si="5"/>
        <v>0</v>
      </c>
      <c r="K52">
        <f t="shared" si="6"/>
        <v>1</v>
      </c>
      <c r="L52">
        <v>2</v>
      </c>
      <c r="M52">
        <v>12.54</v>
      </c>
      <c r="N52">
        <v>2.5</v>
      </c>
    </row>
    <row r="53" spans="1:14" x14ac:dyDescent="0.35">
      <c r="A53" t="s">
        <v>7</v>
      </c>
      <c r="B53" t="s">
        <v>8</v>
      </c>
      <c r="C53" t="s">
        <v>9</v>
      </c>
      <c r="D53" t="s">
        <v>10</v>
      </c>
      <c r="E53">
        <f t="shared" si="0"/>
        <v>0</v>
      </c>
      <c r="F53">
        <f t="shared" si="1"/>
        <v>0</v>
      </c>
      <c r="G53">
        <f t="shared" si="2"/>
        <v>1</v>
      </c>
      <c r="H53">
        <f t="shared" si="3"/>
        <v>0</v>
      </c>
      <c r="I53">
        <f t="shared" si="4"/>
        <v>0</v>
      </c>
      <c r="J53">
        <f t="shared" si="5"/>
        <v>0</v>
      </c>
      <c r="K53">
        <f t="shared" si="6"/>
        <v>1</v>
      </c>
      <c r="L53">
        <v>2</v>
      </c>
      <c r="M53">
        <v>10.29</v>
      </c>
      <c r="N53">
        <v>2.6</v>
      </c>
    </row>
    <row r="54" spans="1:14" x14ac:dyDescent="0.35">
      <c r="A54" t="s">
        <v>7</v>
      </c>
      <c r="B54" t="s">
        <v>8</v>
      </c>
      <c r="C54" t="s">
        <v>9</v>
      </c>
      <c r="D54" t="s">
        <v>10</v>
      </c>
      <c r="E54">
        <f t="shared" si="0"/>
        <v>0</v>
      </c>
      <c r="F54">
        <f t="shared" si="1"/>
        <v>0</v>
      </c>
      <c r="G54">
        <f t="shared" si="2"/>
        <v>1</v>
      </c>
      <c r="H54">
        <f t="shared" si="3"/>
        <v>0</v>
      </c>
      <c r="I54">
        <f t="shared" si="4"/>
        <v>0</v>
      </c>
      <c r="J54">
        <f t="shared" si="5"/>
        <v>0</v>
      </c>
      <c r="K54">
        <f t="shared" si="6"/>
        <v>1</v>
      </c>
      <c r="L54">
        <v>4</v>
      </c>
      <c r="M54">
        <v>34.81</v>
      </c>
      <c r="N54">
        <v>5.2</v>
      </c>
    </row>
    <row r="55" spans="1:14" x14ac:dyDescent="0.35">
      <c r="A55" t="s">
        <v>11</v>
      </c>
      <c r="B55" t="s">
        <v>8</v>
      </c>
      <c r="C55" t="s">
        <v>9</v>
      </c>
      <c r="D55" t="s">
        <v>10</v>
      </c>
      <c r="E55">
        <f t="shared" si="0"/>
        <v>1</v>
      </c>
      <c r="F55">
        <f t="shared" si="1"/>
        <v>0</v>
      </c>
      <c r="G55">
        <f t="shared" si="2"/>
        <v>1</v>
      </c>
      <c r="H55">
        <f t="shared" si="3"/>
        <v>0</v>
      </c>
      <c r="I55">
        <f t="shared" si="4"/>
        <v>0</v>
      </c>
      <c r="J55">
        <f t="shared" si="5"/>
        <v>0</v>
      </c>
      <c r="K55">
        <f t="shared" si="6"/>
        <v>1</v>
      </c>
      <c r="L55">
        <v>2</v>
      </c>
      <c r="M55">
        <v>9.94</v>
      </c>
      <c r="N55">
        <v>1.56</v>
      </c>
    </row>
    <row r="56" spans="1:14" x14ac:dyDescent="0.35">
      <c r="A56" t="s">
        <v>11</v>
      </c>
      <c r="B56" t="s">
        <v>8</v>
      </c>
      <c r="C56" t="s">
        <v>9</v>
      </c>
      <c r="D56" t="s">
        <v>10</v>
      </c>
      <c r="E56">
        <f t="shared" si="0"/>
        <v>1</v>
      </c>
      <c r="F56">
        <f t="shared" si="1"/>
        <v>0</v>
      </c>
      <c r="G56">
        <f t="shared" si="2"/>
        <v>1</v>
      </c>
      <c r="H56">
        <f t="shared" si="3"/>
        <v>0</v>
      </c>
      <c r="I56">
        <f t="shared" si="4"/>
        <v>0</v>
      </c>
      <c r="J56">
        <f t="shared" si="5"/>
        <v>0</v>
      </c>
      <c r="K56">
        <f t="shared" si="6"/>
        <v>1</v>
      </c>
      <c r="L56">
        <v>4</v>
      </c>
      <c r="M56">
        <v>25.56</v>
      </c>
      <c r="N56">
        <v>4.34</v>
      </c>
    </row>
    <row r="57" spans="1:14" x14ac:dyDescent="0.35">
      <c r="A57" t="s">
        <v>11</v>
      </c>
      <c r="B57" t="s">
        <v>8</v>
      </c>
      <c r="C57" t="s">
        <v>9</v>
      </c>
      <c r="D57" t="s">
        <v>10</v>
      </c>
      <c r="E57">
        <f t="shared" si="0"/>
        <v>1</v>
      </c>
      <c r="F57">
        <f t="shared" si="1"/>
        <v>0</v>
      </c>
      <c r="G57">
        <f t="shared" si="2"/>
        <v>1</v>
      </c>
      <c r="H57">
        <f t="shared" si="3"/>
        <v>0</v>
      </c>
      <c r="I57">
        <f t="shared" si="4"/>
        <v>0</v>
      </c>
      <c r="J57">
        <f t="shared" si="5"/>
        <v>0</v>
      </c>
      <c r="K57">
        <f t="shared" si="6"/>
        <v>1</v>
      </c>
      <c r="L57">
        <v>2</v>
      </c>
      <c r="M57">
        <v>19.489999999999998</v>
      </c>
      <c r="N57">
        <v>3.51</v>
      </c>
    </row>
    <row r="58" spans="1:14" x14ac:dyDescent="0.35">
      <c r="A58" t="s">
        <v>11</v>
      </c>
      <c r="B58" t="s">
        <v>22</v>
      </c>
      <c r="C58" t="s">
        <v>21</v>
      </c>
      <c r="D58" t="s">
        <v>10</v>
      </c>
      <c r="E58">
        <f t="shared" si="0"/>
        <v>1</v>
      </c>
      <c r="F58">
        <f t="shared" si="1"/>
        <v>1</v>
      </c>
      <c r="G58">
        <f t="shared" si="2"/>
        <v>1</v>
      </c>
      <c r="H58">
        <f t="shared" si="3"/>
        <v>0</v>
      </c>
      <c r="I58">
        <f t="shared" si="4"/>
        <v>0</v>
      </c>
      <c r="J58">
        <f t="shared" si="5"/>
        <v>1</v>
      </c>
      <c r="K58">
        <f t="shared" si="6"/>
        <v>0</v>
      </c>
      <c r="L58">
        <v>4</v>
      </c>
      <c r="M58">
        <v>38.01</v>
      </c>
      <c r="N58">
        <v>3</v>
      </c>
    </row>
    <row r="59" spans="1:14" x14ac:dyDescent="0.35">
      <c r="A59" t="s">
        <v>7</v>
      </c>
      <c r="B59" t="s">
        <v>8</v>
      </c>
      <c r="C59" t="s">
        <v>21</v>
      </c>
      <c r="D59" t="s">
        <v>10</v>
      </c>
      <c r="E59">
        <f t="shared" si="0"/>
        <v>0</v>
      </c>
      <c r="F59">
        <f t="shared" si="1"/>
        <v>0</v>
      </c>
      <c r="G59">
        <f t="shared" si="2"/>
        <v>1</v>
      </c>
      <c r="H59">
        <f t="shared" si="3"/>
        <v>0</v>
      </c>
      <c r="I59">
        <f t="shared" si="4"/>
        <v>0</v>
      </c>
      <c r="J59">
        <f t="shared" si="5"/>
        <v>1</v>
      </c>
      <c r="K59">
        <f t="shared" si="6"/>
        <v>0</v>
      </c>
      <c r="L59">
        <v>2</v>
      </c>
      <c r="M59">
        <v>26.41</v>
      </c>
      <c r="N59">
        <v>1.5</v>
      </c>
    </row>
    <row r="60" spans="1:14" x14ac:dyDescent="0.35">
      <c r="A60" t="s">
        <v>11</v>
      </c>
      <c r="B60" t="s">
        <v>22</v>
      </c>
      <c r="C60" t="s">
        <v>21</v>
      </c>
      <c r="D60" t="s">
        <v>10</v>
      </c>
      <c r="E60">
        <f t="shared" si="0"/>
        <v>1</v>
      </c>
      <c r="F60">
        <f t="shared" si="1"/>
        <v>1</v>
      </c>
      <c r="G60">
        <f t="shared" si="2"/>
        <v>1</v>
      </c>
      <c r="H60">
        <f t="shared" si="3"/>
        <v>0</v>
      </c>
      <c r="I60">
        <f t="shared" si="4"/>
        <v>0</v>
      </c>
      <c r="J60">
        <f t="shared" si="5"/>
        <v>1</v>
      </c>
      <c r="K60">
        <f t="shared" si="6"/>
        <v>0</v>
      </c>
      <c r="L60">
        <v>2</v>
      </c>
      <c r="M60">
        <v>11.24</v>
      </c>
      <c r="N60">
        <v>1.76</v>
      </c>
    </row>
    <row r="61" spans="1:14" x14ac:dyDescent="0.35">
      <c r="A61" t="s">
        <v>11</v>
      </c>
      <c r="B61" t="s">
        <v>8</v>
      </c>
      <c r="C61" t="s">
        <v>21</v>
      </c>
      <c r="D61" t="s">
        <v>10</v>
      </c>
      <c r="E61">
        <f t="shared" si="0"/>
        <v>1</v>
      </c>
      <c r="F61">
        <f t="shared" si="1"/>
        <v>0</v>
      </c>
      <c r="G61">
        <f t="shared" si="2"/>
        <v>1</v>
      </c>
      <c r="H61">
        <f t="shared" si="3"/>
        <v>0</v>
      </c>
      <c r="I61">
        <f t="shared" si="4"/>
        <v>0</v>
      </c>
      <c r="J61">
        <f t="shared" si="5"/>
        <v>1</v>
      </c>
      <c r="K61">
        <f t="shared" si="6"/>
        <v>0</v>
      </c>
      <c r="L61">
        <v>4</v>
      </c>
      <c r="M61">
        <v>48.27</v>
      </c>
      <c r="N61">
        <v>6.73</v>
      </c>
    </row>
    <row r="62" spans="1:14" x14ac:dyDescent="0.35">
      <c r="A62" t="s">
        <v>11</v>
      </c>
      <c r="B62" t="s">
        <v>22</v>
      </c>
      <c r="C62" t="s">
        <v>21</v>
      </c>
      <c r="D62" t="s">
        <v>10</v>
      </c>
      <c r="E62">
        <f t="shared" si="0"/>
        <v>1</v>
      </c>
      <c r="F62">
        <f t="shared" si="1"/>
        <v>1</v>
      </c>
      <c r="G62">
        <f t="shared" si="2"/>
        <v>1</v>
      </c>
      <c r="H62">
        <f t="shared" si="3"/>
        <v>0</v>
      </c>
      <c r="I62">
        <f t="shared" si="4"/>
        <v>0</v>
      </c>
      <c r="J62">
        <f t="shared" si="5"/>
        <v>1</v>
      </c>
      <c r="K62">
        <f t="shared" si="6"/>
        <v>0</v>
      </c>
      <c r="L62">
        <v>2</v>
      </c>
      <c r="M62">
        <v>20.29</v>
      </c>
      <c r="N62">
        <v>3.21</v>
      </c>
    </row>
    <row r="63" spans="1:14" x14ac:dyDescent="0.35">
      <c r="A63" t="s">
        <v>11</v>
      </c>
      <c r="B63" t="s">
        <v>22</v>
      </c>
      <c r="C63" t="s">
        <v>21</v>
      </c>
      <c r="D63" t="s">
        <v>10</v>
      </c>
      <c r="E63">
        <f t="shared" si="0"/>
        <v>1</v>
      </c>
      <c r="F63">
        <f t="shared" si="1"/>
        <v>1</v>
      </c>
      <c r="G63">
        <f t="shared" si="2"/>
        <v>1</v>
      </c>
      <c r="H63">
        <f t="shared" si="3"/>
        <v>0</v>
      </c>
      <c r="I63">
        <f t="shared" si="4"/>
        <v>0</v>
      </c>
      <c r="J63">
        <f t="shared" si="5"/>
        <v>1</v>
      </c>
      <c r="K63">
        <f t="shared" si="6"/>
        <v>0</v>
      </c>
      <c r="L63">
        <v>2</v>
      </c>
      <c r="M63">
        <v>13.81</v>
      </c>
      <c r="N63">
        <v>2</v>
      </c>
    </row>
    <row r="64" spans="1:14" x14ac:dyDescent="0.35">
      <c r="A64" t="s">
        <v>11</v>
      </c>
      <c r="B64" t="s">
        <v>22</v>
      </c>
      <c r="C64" t="s">
        <v>21</v>
      </c>
      <c r="D64" t="s">
        <v>10</v>
      </c>
      <c r="E64">
        <f t="shared" si="0"/>
        <v>1</v>
      </c>
      <c r="F64">
        <f t="shared" si="1"/>
        <v>1</v>
      </c>
      <c r="G64">
        <f t="shared" si="2"/>
        <v>1</v>
      </c>
      <c r="H64">
        <f t="shared" si="3"/>
        <v>0</v>
      </c>
      <c r="I64">
        <f t="shared" si="4"/>
        <v>0</v>
      </c>
      <c r="J64">
        <f t="shared" si="5"/>
        <v>1</v>
      </c>
      <c r="K64">
        <f t="shared" si="6"/>
        <v>0</v>
      </c>
      <c r="L64">
        <v>2</v>
      </c>
      <c r="M64">
        <v>11.02</v>
      </c>
      <c r="N64">
        <v>1.98</v>
      </c>
    </row>
    <row r="65" spans="1:14" x14ac:dyDescent="0.35">
      <c r="A65" t="s">
        <v>11</v>
      </c>
      <c r="B65" t="s">
        <v>22</v>
      </c>
      <c r="C65" t="s">
        <v>21</v>
      </c>
      <c r="D65" t="s">
        <v>10</v>
      </c>
      <c r="E65">
        <f t="shared" si="0"/>
        <v>1</v>
      </c>
      <c r="F65">
        <f t="shared" si="1"/>
        <v>1</v>
      </c>
      <c r="G65">
        <f t="shared" si="2"/>
        <v>1</v>
      </c>
      <c r="H65">
        <f t="shared" si="3"/>
        <v>0</v>
      </c>
      <c r="I65">
        <f t="shared" si="4"/>
        <v>0</v>
      </c>
      <c r="J65">
        <f t="shared" si="5"/>
        <v>1</v>
      </c>
      <c r="K65">
        <f t="shared" si="6"/>
        <v>0</v>
      </c>
      <c r="L65">
        <v>4</v>
      </c>
      <c r="M65">
        <v>18.29</v>
      </c>
      <c r="N65">
        <v>3.76</v>
      </c>
    </row>
    <row r="66" spans="1:14" x14ac:dyDescent="0.35">
      <c r="A66" t="s">
        <v>11</v>
      </c>
      <c r="B66" t="s">
        <v>8</v>
      </c>
      <c r="C66" t="s">
        <v>21</v>
      </c>
      <c r="D66" t="s">
        <v>10</v>
      </c>
      <c r="E66">
        <f t="shared" si="0"/>
        <v>1</v>
      </c>
      <c r="F66">
        <f t="shared" si="1"/>
        <v>0</v>
      </c>
      <c r="G66">
        <f t="shared" si="2"/>
        <v>1</v>
      </c>
      <c r="H66">
        <f t="shared" si="3"/>
        <v>0</v>
      </c>
      <c r="I66">
        <f t="shared" si="4"/>
        <v>0</v>
      </c>
      <c r="J66">
        <f t="shared" si="5"/>
        <v>1</v>
      </c>
      <c r="K66">
        <f t="shared" si="6"/>
        <v>0</v>
      </c>
      <c r="L66">
        <v>3</v>
      </c>
      <c r="M66">
        <v>17.59</v>
      </c>
      <c r="N66">
        <v>2.64</v>
      </c>
    </row>
    <row r="67" spans="1:14" x14ac:dyDescent="0.35">
      <c r="A67" t="s">
        <v>11</v>
      </c>
      <c r="B67" t="s">
        <v>8</v>
      </c>
      <c r="C67" t="s">
        <v>21</v>
      </c>
      <c r="D67" t="s">
        <v>10</v>
      </c>
      <c r="E67">
        <f t="shared" ref="E67:E130" si="7">IF(A67="Male",1,0)</f>
        <v>1</v>
      </c>
      <c r="F67">
        <f t="shared" ref="F67:F130" si="8">IF(B67="Yes",1,0)</f>
        <v>0</v>
      </c>
      <c r="G67">
        <f t="shared" ref="G67:G130" si="9">IF(D67="Dinner",1,0)</f>
        <v>1</v>
      </c>
      <c r="H67">
        <f t="shared" ref="H67:H130" si="10">IF(C67="Thur",1,0)</f>
        <v>0</v>
      </c>
      <c r="I67">
        <f t="shared" ref="I67:I130" si="11">IF(C67="Fri",1,0)</f>
        <v>0</v>
      </c>
      <c r="J67">
        <f t="shared" ref="J67:J130" si="12">IF(C67="Sat",1,0)</f>
        <v>1</v>
      </c>
      <c r="K67">
        <f t="shared" ref="K67:K130" si="13">IF(C67="Sun",1,0)</f>
        <v>0</v>
      </c>
      <c r="L67">
        <v>3</v>
      </c>
      <c r="M67">
        <v>20.079999999999998</v>
      </c>
      <c r="N67">
        <v>3.15</v>
      </c>
    </row>
    <row r="68" spans="1:14" x14ac:dyDescent="0.35">
      <c r="A68" t="s">
        <v>7</v>
      </c>
      <c r="B68" t="s">
        <v>8</v>
      </c>
      <c r="C68" t="s">
        <v>21</v>
      </c>
      <c r="D68" t="s">
        <v>10</v>
      </c>
      <c r="E68">
        <f t="shared" si="7"/>
        <v>0</v>
      </c>
      <c r="F68">
        <f t="shared" si="8"/>
        <v>0</v>
      </c>
      <c r="G68">
        <f t="shared" si="9"/>
        <v>1</v>
      </c>
      <c r="H68">
        <f t="shared" si="10"/>
        <v>0</v>
      </c>
      <c r="I68">
        <f t="shared" si="11"/>
        <v>0</v>
      </c>
      <c r="J68">
        <f t="shared" si="12"/>
        <v>1</v>
      </c>
      <c r="K68">
        <f t="shared" si="13"/>
        <v>0</v>
      </c>
      <c r="L68">
        <v>2</v>
      </c>
      <c r="M68">
        <v>16.45</v>
      </c>
      <c r="N68">
        <v>2.4700000000000002</v>
      </c>
    </row>
    <row r="69" spans="1:14" x14ac:dyDescent="0.35">
      <c r="A69" t="s">
        <v>7</v>
      </c>
      <c r="B69" t="s">
        <v>22</v>
      </c>
      <c r="C69" t="s">
        <v>21</v>
      </c>
      <c r="D69" t="s">
        <v>10</v>
      </c>
      <c r="E69">
        <f t="shared" si="7"/>
        <v>0</v>
      </c>
      <c r="F69">
        <f t="shared" si="8"/>
        <v>1</v>
      </c>
      <c r="G69">
        <f t="shared" si="9"/>
        <v>1</v>
      </c>
      <c r="H69">
        <f t="shared" si="10"/>
        <v>0</v>
      </c>
      <c r="I69">
        <f t="shared" si="11"/>
        <v>0</v>
      </c>
      <c r="J69">
        <f t="shared" si="12"/>
        <v>1</v>
      </c>
      <c r="K69">
        <f t="shared" si="13"/>
        <v>0</v>
      </c>
      <c r="L69">
        <v>1</v>
      </c>
      <c r="M69">
        <v>3.07</v>
      </c>
      <c r="N69">
        <v>1</v>
      </c>
    </row>
    <row r="70" spans="1:14" x14ac:dyDescent="0.35">
      <c r="A70" t="s">
        <v>11</v>
      </c>
      <c r="B70" t="s">
        <v>8</v>
      </c>
      <c r="C70" t="s">
        <v>21</v>
      </c>
      <c r="D70" t="s">
        <v>10</v>
      </c>
      <c r="E70">
        <f t="shared" si="7"/>
        <v>1</v>
      </c>
      <c r="F70">
        <f t="shared" si="8"/>
        <v>0</v>
      </c>
      <c r="G70">
        <f t="shared" si="9"/>
        <v>1</v>
      </c>
      <c r="H70">
        <f t="shared" si="10"/>
        <v>0</v>
      </c>
      <c r="I70">
        <f t="shared" si="11"/>
        <v>0</v>
      </c>
      <c r="J70">
        <f t="shared" si="12"/>
        <v>1</v>
      </c>
      <c r="K70">
        <f t="shared" si="13"/>
        <v>0</v>
      </c>
      <c r="L70">
        <v>2</v>
      </c>
      <c r="M70">
        <v>20.23</v>
      </c>
      <c r="N70">
        <v>2.0099999999999998</v>
      </c>
    </row>
    <row r="71" spans="1:14" x14ac:dyDescent="0.35">
      <c r="A71" t="s">
        <v>11</v>
      </c>
      <c r="B71" t="s">
        <v>22</v>
      </c>
      <c r="C71" t="s">
        <v>21</v>
      </c>
      <c r="D71" t="s">
        <v>10</v>
      </c>
      <c r="E71">
        <f t="shared" si="7"/>
        <v>1</v>
      </c>
      <c r="F71">
        <f t="shared" si="8"/>
        <v>1</v>
      </c>
      <c r="G71">
        <f t="shared" si="9"/>
        <v>1</v>
      </c>
      <c r="H71">
        <f t="shared" si="10"/>
        <v>0</v>
      </c>
      <c r="I71">
        <f t="shared" si="11"/>
        <v>0</v>
      </c>
      <c r="J71">
        <f t="shared" si="12"/>
        <v>1</v>
      </c>
      <c r="K71">
        <f t="shared" si="13"/>
        <v>0</v>
      </c>
      <c r="L71">
        <v>2</v>
      </c>
      <c r="M71">
        <v>15.01</v>
      </c>
      <c r="N71">
        <v>2.09</v>
      </c>
    </row>
    <row r="72" spans="1:14" x14ac:dyDescent="0.35">
      <c r="A72" t="s">
        <v>11</v>
      </c>
      <c r="B72" t="s">
        <v>8</v>
      </c>
      <c r="C72" t="s">
        <v>21</v>
      </c>
      <c r="D72" t="s">
        <v>10</v>
      </c>
      <c r="E72">
        <f t="shared" si="7"/>
        <v>1</v>
      </c>
      <c r="F72">
        <f t="shared" si="8"/>
        <v>0</v>
      </c>
      <c r="G72">
        <f t="shared" si="9"/>
        <v>1</v>
      </c>
      <c r="H72">
        <f t="shared" si="10"/>
        <v>0</v>
      </c>
      <c r="I72">
        <f t="shared" si="11"/>
        <v>0</v>
      </c>
      <c r="J72">
        <f t="shared" si="12"/>
        <v>1</v>
      </c>
      <c r="K72">
        <f t="shared" si="13"/>
        <v>0</v>
      </c>
      <c r="L72">
        <v>2</v>
      </c>
      <c r="M72">
        <v>12.02</v>
      </c>
      <c r="N72">
        <v>1.97</v>
      </c>
    </row>
    <row r="73" spans="1:14" x14ac:dyDescent="0.35">
      <c r="A73" t="s">
        <v>7</v>
      </c>
      <c r="B73" t="s">
        <v>8</v>
      </c>
      <c r="C73" t="s">
        <v>21</v>
      </c>
      <c r="D73" t="s">
        <v>10</v>
      </c>
      <c r="E73">
        <f t="shared" si="7"/>
        <v>0</v>
      </c>
      <c r="F73">
        <f t="shared" si="8"/>
        <v>0</v>
      </c>
      <c r="G73">
        <f t="shared" si="9"/>
        <v>1</v>
      </c>
      <c r="H73">
        <f t="shared" si="10"/>
        <v>0</v>
      </c>
      <c r="I73">
        <f t="shared" si="11"/>
        <v>0</v>
      </c>
      <c r="J73">
        <f t="shared" si="12"/>
        <v>1</v>
      </c>
      <c r="K73">
        <f t="shared" si="13"/>
        <v>0</v>
      </c>
      <c r="L73">
        <v>3</v>
      </c>
      <c r="M73">
        <v>17.07</v>
      </c>
      <c r="N73">
        <v>3</v>
      </c>
    </row>
    <row r="74" spans="1:14" x14ac:dyDescent="0.35">
      <c r="A74" t="s">
        <v>7</v>
      </c>
      <c r="B74" t="s">
        <v>22</v>
      </c>
      <c r="C74" t="s">
        <v>21</v>
      </c>
      <c r="D74" t="s">
        <v>10</v>
      </c>
      <c r="E74">
        <f t="shared" si="7"/>
        <v>0</v>
      </c>
      <c r="F74">
        <f t="shared" si="8"/>
        <v>1</v>
      </c>
      <c r="G74">
        <f t="shared" si="9"/>
        <v>1</v>
      </c>
      <c r="H74">
        <f t="shared" si="10"/>
        <v>0</v>
      </c>
      <c r="I74">
        <f t="shared" si="11"/>
        <v>0</v>
      </c>
      <c r="J74">
        <f t="shared" si="12"/>
        <v>1</v>
      </c>
      <c r="K74">
        <f t="shared" si="13"/>
        <v>0</v>
      </c>
      <c r="L74">
        <v>2</v>
      </c>
      <c r="M74">
        <v>26.86</v>
      </c>
      <c r="N74">
        <v>3.14</v>
      </c>
    </row>
    <row r="75" spans="1:14" x14ac:dyDescent="0.35">
      <c r="A75" t="s">
        <v>7</v>
      </c>
      <c r="B75" t="s">
        <v>22</v>
      </c>
      <c r="C75" t="s">
        <v>21</v>
      </c>
      <c r="D75" t="s">
        <v>10</v>
      </c>
      <c r="E75">
        <f t="shared" si="7"/>
        <v>0</v>
      </c>
      <c r="F75">
        <f t="shared" si="8"/>
        <v>1</v>
      </c>
      <c r="G75">
        <f t="shared" si="9"/>
        <v>1</v>
      </c>
      <c r="H75">
        <f t="shared" si="10"/>
        <v>0</v>
      </c>
      <c r="I75">
        <f t="shared" si="11"/>
        <v>0</v>
      </c>
      <c r="J75">
        <f t="shared" si="12"/>
        <v>1</v>
      </c>
      <c r="K75">
        <f t="shared" si="13"/>
        <v>0</v>
      </c>
      <c r="L75">
        <v>2</v>
      </c>
      <c r="M75">
        <v>25.28</v>
      </c>
      <c r="N75">
        <v>5</v>
      </c>
    </row>
    <row r="76" spans="1:14" x14ac:dyDescent="0.35">
      <c r="A76" t="s">
        <v>7</v>
      </c>
      <c r="B76" t="s">
        <v>8</v>
      </c>
      <c r="C76" t="s">
        <v>21</v>
      </c>
      <c r="D76" t="s">
        <v>10</v>
      </c>
      <c r="E76">
        <f t="shared" si="7"/>
        <v>0</v>
      </c>
      <c r="F76">
        <f t="shared" si="8"/>
        <v>0</v>
      </c>
      <c r="G76">
        <f t="shared" si="9"/>
        <v>1</v>
      </c>
      <c r="H76">
        <f t="shared" si="10"/>
        <v>0</v>
      </c>
      <c r="I76">
        <f t="shared" si="11"/>
        <v>0</v>
      </c>
      <c r="J76">
        <f t="shared" si="12"/>
        <v>1</v>
      </c>
      <c r="K76">
        <f t="shared" si="13"/>
        <v>0</v>
      </c>
      <c r="L76">
        <v>2</v>
      </c>
      <c r="M76">
        <v>14.73</v>
      </c>
      <c r="N76">
        <v>2.2000000000000002</v>
      </c>
    </row>
    <row r="77" spans="1:14" x14ac:dyDescent="0.35">
      <c r="A77" t="s">
        <v>11</v>
      </c>
      <c r="B77" t="s">
        <v>8</v>
      </c>
      <c r="C77" t="s">
        <v>21</v>
      </c>
      <c r="D77" t="s">
        <v>10</v>
      </c>
      <c r="E77">
        <f t="shared" si="7"/>
        <v>1</v>
      </c>
      <c r="F77">
        <f t="shared" si="8"/>
        <v>0</v>
      </c>
      <c r="G77">
        <f t="shared" si="9"/>
        <v>1</v>
      </c>
      <c r="H77">
        <f t="shared" si="10"/>
        <v>0</v>
      </c>
      <c r="I77">
        <f t="shared" si="11"/>
        <v>0</v>
      </c>
      <c r="J77">
        <f t="shared" si="12"/>
        <v>1</v>
      </c>
      <c r="K77">
        <f t="shared" si="13"/>
        <v>0</v>
      </c>
      <c r="L77">
        <v>2</v>
      </c>
      <c r="M77">
        <v>10.51</v>
      </c>
      <c r="N77">
        <v>1.25</v>
      </c>
    </row>
    <row r="78" spans="1:14" x14ac:dyDescent="0.35">
      <c r="A78" t="s">
        <v>11</v>
      </c>
      <c r="B78" t="s">
        <v>22</v>
      </c>
      <c r="C78" t="s">
        <v>21</v>
      </c>
      <c r="D78" t="s">
        <v>10</v>
      </c>
      <c r="E78">
        <f t="shared" si="7"/>
        <v>1</v>
      </c>
      <c r="F78">
        <f t="shared" si="8"/>
        <v>1</v>
      </c>
      <c r="G78">
        <f t="shared" si="9"/>
        <v>1</v>
      </c>
      <c r="H78">
        <f t="shared" si="10"/>
        <v>0</v>
      </c>
      <c r="I78">
        <f t="shared" si="11"/>
        <v>0</v>
      </c>
      <c r="J78">
        <f t="shared" si="12"/>
        <v>1</v>
      </c>
      <c r="K78">
        <f t="shared" si="13"/>
        <v>0</v>
      </c>
      <c r="L78">
        <v>2</v>
      </c>
      <c r="M78">
        <v>17.920000000000002</v>
      </c>
      <c r="N78">
        <v>3.08</v>
      </c>
    </row>
    <row r="79" spans="1:14" x14ac:dyDescent="0.35">
      <c r="A79" t="s">
        <v>11</v>
      </c>
      <c r="B79" t="s">
        <v>8</v>
      </c>
      <c r="C79" t="s">
        <v>23</v>
      </c>
      <c r="D79" t="s">
        <v>24</v>
      </c>
      <c r="E79">
        <f t="shared" si="7"/>
        <v>1</v>
      </c>
      <c r="F79">
        <f t="shared" si="8"/>
        <v>0</v>
      </c>
      <c r="G79">
        <f t="shared" si="9"/>
        <v>0</v>
      </c>
      <c r="H79">
        <f t="shared" si="10"/>
        <v>1</v>
      </c>
      <c r="I79">
        <f t="shared" si="11"/>
        <v>0</v>
      </c>
      <c r="J79">
        <f t="shared" si="12"/>
        <v>0</v>
      </c>
      <c r="K79">
        <f t="shared" si="13"/>
        <v>0</v>
      </c>
      <c r="L79">
        <v>4</v>
      </c>
      <c r="M79">
        <v>27.2</v>
      </c>
      <c r="N79">
        <v>4</v>
      </c>
    </row>
    <row r="80" spans="1:14" x14ac:dyDescent="0.35">
      <c r="A80" t="s">
        <v>11</v>
      </c>
      <c r="B80" t="s">
        <v>8</v>
      </c>
      <c r="C80" t="s">
        <v>23</v>
      </c>
      <c r="D80" t="s">
        <v>24</v>
      </c>
      <c r="E80">
        <f t="shared" si="7"/>
        <v>1</v>
      </c>
      <c r="F80">
        <f t="shared" si="8"/>
        <v>0</v>
      </c>
      <c r="G80">
        <f t="shared" si="9"/>
        <v>0</v>
      </c>
      <c r="H80">
        <f t="shared" si="10"/>
        <v>1</v>
      </c>
      <c r="I80">
        <f t="shared" si="11"/>
        <v>0</v>
      </c>
      <c r="J80">
        <f t="shared" si="12"/>
        <v>0</v>
      </c>
      <c r="K80">
        <f t="shared" si="13"/>
        <v>0</v>
      </c>
      <c r="L80">
        <v>2</v>
      </c>
      <c r="M80">
        <v>22.76</v>
      </c>
      <c r="N80">
        <v>3</v>
      </c>
    </row>
    <row r="81" spans="1:14" x14ac:dyDescent="0.35">
      <c r="A81" t="s">
        <v>11</v>
      </c>
      <c r="B81" t="s">
        <v>8</v>
      </c>
      <c r="C81" t="s">
        <v>23</v>
      </c>
      <c r="D81" t="s">
        <v>24</v>
      </c>
      <c r="E81">
        <f t="shared" si="7"/>
        <v>1</v>
      </c>
      <c r="F81">
        <f t="shared" si="8"/>
        <v>0</v>
      </c>
      <c r="G81">
        <f t="shared" si="9"/>
        <v>0</v>
      </c>
      <c r="H81">
        <f t="shared" si="10"/>
        <v>1</v>
      </c>
      <c r="I81">
        <f t="shared" si="11"/>
        <v>0</v>
      </c>
      <c r="J81">
        <f t="shared" si="12"/>
        <v>0</v>
      </c>
      <c r="K81">
        <f t="shared" si="13"/>
        <v>0</v>
      </c>
      <c r="L81">
        <v>2</v>
      </c>
      <c r="M81">
        <v>17.29</v>
      </c>
      <c r="N81">
        <v>2.71</v>
      </c>
    </row>
    <row r="82" spans="1:14" x14ac:dyDescent="0.35">
      <c r="A82" t="s">
        <v>11</v>
      </c>
      <c r="B82" t="s">
        <v>22</v>
      </c>
      <c r="C82" t="s">
        <v>23</v>
      </c>
      <c r="D82" t="s">
        <v>24</v>
      </c>
      <c r="E82">
        <f t="shared" si="7"/>
        <v>1</v>
      </c>
      <c r="F82">
        <f t="shared" si="8"/>
        <v>1</v>
      </c>
      <c r="G82">
        <f t="shared" si="9"/>
        <v>0</v>
      </c>
      <c r="H82">
        <f t="shared" si="10"/>
        <v>1</v>
      </c>
      <c r="I82">
        <f t="shared" si="11"/>
        <v>0</v>
      </c>
      <c r="J82">
        <f t="shared" si="12"/>
        <v>0</v>
      </c>
      <c r="K82">
        <f t="shared" si="13"/>
        <v>0</v>
      </c>
      <c r="L82">
        <v>2</v>
      </c>
      <c r="M82">
        <v>19.440000000000001</v>
      </c>
      <c r="N82">
        <v>3</v>
      </c>
    </row>
    <row r="83" spans="1:14" x14ac:dyDescent="0.35">
      <c r="A83" t="s">
        <v>11</v>
      </c>
      <c r="B83" t="s">
        <v>8</v>
      </c>
      <c r="C83" t="s">
        <v>23</v>
      </c>
      <c r="D83" t="s">
        <v>24</v>
      </c>
      <c r="E83">
        <f t="shared" si="7"/>
        <v>1</v>
      </c>
      <c r="F83">
        <f t="shared" si="8"/>
        <v>0</v>
      </c>
      <c r="G83">
        <f t="shared" si="9"/>
        <v>0</v>
      </c>
      <c r="H83">
        <f t="shared" si="10"/>
        <v>1</v>
      </c>
      <c r="I83">
        <f t="shared" si="11"/>
        <v>0</v>
      </c>
      <c r="J83">
        <f t="shared" si="12"/>
        <v>0</v>
      </c>
      <c r="K83">
        <f t="shared" si="13"/>
        <v>0</v>
      </c>
      <c r="L83">
        <v>2</v>
      </c>
      <c r="M83">
        <v>16.66</v>
      </c>
      <c r="N83">
        <v>3.4</v>
      </c>
    </row>
    <row r="84" spans="1:14" x14ac:dyDescent="0.35">
      <c r="A84" t="s">
        <v>7</v>
      </c>
      <c r="B84" t="s">
        <v>8</v>
      </c>
      <c r="C84" t="s">
        <v>23</v>
      </c>
      <c r="D84" t="s">
        <v>24</v>
      </c>
      <c r="E84">
        <f t="shared" si="7"/>
        <v>0</v>
      </c>
      <c r="F84">
        <f t="shared" si="8"/>
        <v>0</v>
      </c>
      <c r="G84">
        <f t="shared" si="9"/>
        <v>0</v>
      </c>
      <c r="H84">
        <f t="shared" si="10"/>
        <v>1</v>
      </c>
      <c r="I84">
        <f t="shared" si="11"/>
        <v>0</v>
      </c>
      <c r="J84">
        <f t="shared" si="12"/>
        <v>0</v>
      </c>
      <c r="K84">
        <f t="shared" si="13"/>
        <v>0</v>
      </c>
      <c r="L84">
        <v>1</v>
      </c>
      <c r="M84">
        <v>10.07</v>
      </c>
      <c r="N84">
        <v>1.83</v>
      </c>
    </row>
    <row r="85" spans="1:14" x14ac:dyDescent="0.35">
      <c r="A85" t="s">
        <v>11</v>
      </c>
      <c r="B85" t="s">
        <v>22</v>
      </c>
      <c r="C85" t="s">
        <v>23</v>
      </c>
      <c r="D85" t="s">
        <v>24</v>
      </c>
      <c r="E85">
        <f t="shared" si="7"/>
        <v>1</v>
      </c>
      <c r="F85">
        <f t="shared" si="8"/>
        <v>1</v>
      </c>
      <c r="G85">
        <f t="shared" si="9"/>
        <v>0</v>
      </c>
      <c r="H85">
        <f t="shared" si="10"/>
        <v>1</v>
      </c>
      <c r="I85">
        <f t="shared" si="11"/>
        <v>0</v>
      </c>
      <c r="J85">
        <f t="shared" si="12"/>
        <v>0</v>
      </c>
      <c r="K85">
        <f t="shared" si="13"/>
        <v>0</v>
      </c>
      <c r="L85">
        <v>2</v>
      </c>
      <c r="M85">
        <v>32.68</v>
      </c>
      <c r="N85">
        <v>5</v>
      </c>
    </row>
    <row r="86" spans="1:14" x14ac:dyDescent="0.35">
      <c r="A86" t="s">
        <v>11</v>
      </c>
      <c r="B86" t="s">
        <v>8</v>
      </c>
      <c r="C86" t="s">
        <v>23</v>
      </c>
      <c r="D86" t="s">
        <v>24</v>
      </c>
      <c r="E86">
        <f t="shared" si="7"/>
        <v>1</v>
      </c>
      <c r="F86">
        <f t="shared" si="8"/>
        <v>0</v>
      </c>
      <c r="G86">
        <f t="shared" si="9"/>
        <v>0</v>
      </c>
      <c r="H86">
        <f t="shared" si="10"/>
        <v>1</v>
      </c>
      <c r="I86">
        <f t="shared" si="11"/>
        <v>0</v>
      </c>
      <c r="J86">
        <f t="shared" si="12"/>
        <v>0</v>
      </c>
      <c r="K86">
        <f t="shared" si="13"/>
        <v>0</v>
      </c>
      <c r="L86">
        <v>2</v>
      </c>
      <c r="M86">
        <v>15.98</v>
      </c>
      <c r="N86">
        <v>2.0299999999999998</v>
      </c>
    </row>
    <row r="87" spans="1:14" x14ac:dyDescent="0.35">
      <c r="A87" t="s">
        <v>7</v>
      </c>
      <c r="B87" t="s">
        <v>8</v>
      </c>
      <c r="C87" t="s">
        <v>23</v>
      </c>
      <c r="D87" t="s">
        <v>24</v>
      </c>
      <c r="E87">
        <f t="shared" si="7"/>
        <v>0</v>
      </c>
      <c r="F87">
        <f t="shared" si="8"/>
        <v>0</v>
      </c>
      <c r="G87">
        <f t="shared" si="9"/>
        <v>0</v>
      </c>
      <c r="H87">
        <f t="shared" si="10"/>
        <v>1</v>
      </c>
      <c r="I87">
        <f t="shared" si="11"/>
        <v>0</v>
      </c>
      <c r="J87">
        <f t="shared" si="12"/>
        <v>0</v>
      </c>
      <c r="K87">
        <f t="shared" si="13"/>
        <v>0</v>
      </c>
      <c r="L87">
        <v>4</v>
      </c>
      <c r="M87">
        <v>34.83</v>
      </c>
      <c r="N87">
        <v>5.17</v>
      </c>
    </row>
    <row r="88" spans="1:14" x14ac:dyDescent="0.35">
      <c r="A88" t="s">
        <v>11</v>
      </c>
      <c r="B88" t="s">
        <v>8</v>
      </c>
      <c r="C88" t="s">
        <v>23</v>
      </c>
      <c r="D88" t="s">
        <v>24</v>
      </c>
      <c r="E88">
        <f t="shared" si="7"/>
        <v>1</v>
      </c>
      <c r="F88">
        <f t="shared" si="8"/>
        <v>0</v>
      </c>
      <c r="G88">
        <f t="shared" si="9"/>
        <v>0</v>
      </c>
      <c r="H88">
        <f t="shared" si="10"/>
        <v>1</v>
      </c>
      <c r="I88">
        <f t="shared" si="11"/>
        <v>0</v>
      </c>
      <c r="J88">
        <f t="shared" si="12"/>
        <v>0</v>
      </c>
      <c r="K88">
        <f t="shared" si="13"/>
        <v>0</v>
      </c>
      <c r="L88">
        <v>2</v>
      </c>
      <c r="M88">
        <v>13.03</v>
      </c>
      <c r="N88">
        <v>2</v>
      </c>
    </row>
    <row r="89" spans="1:14" x14ac:dyDescent="0.35">
      <c r="A89" t="s">
        <v>11</v>
      </c>
      <c r="B89" t="s">
        <v>8</v>
      </c>
      <c r="C89" t="s">
        <v>23</v>
      </c>
      <c r="D89" t="s">
        <v>24</v>
      </c>
      <c r="E89">
        <f t="shared" si="7"/>
        <v>1</v>
      </c>
      <c r="F89">
        <f t="shared" si="8"/>
        <v>0</v>
      </c>
      <c r="G89">
        <f t="shared" si="9"/>
        <v>0</v>
      </c>
      <c r="H89">
        <f t="shared" si="10"/>
        <v>1</v>
      </c>
      <c r="I89">
        <f t="shared" si="11"/>
        <v>0</v>
      </c>
      <c r="J89">
        <f t="shared" si="12"/>
        <v>0</v>
      </c>
      <c r="K89">
        <f t="shared" si="13"/>
        <v>0</v>
      </c>
      <c r="L89">
        <v>2</v>
      </c>
      <c r="M89">
        <v>18.28</v>
      </c>
      <c r="N89">
        <v>4</v>
      </c>
    </row>
    <row r="90" spans="1:14" x14ac:dyDescent="0.35">
      <c r="A90" t="s">
        <v>11</v>
      </c>
      <c r="B90" t="s">
        <v>8</v>
      </c>
      <c r="C90" t="s">
        <v>23</v>
      </c>
      <c r="D90" t="s">
        <v>24</v>
      </c>
      <c r="E90">
        <f t="shared" si="7"/>
        <v>1</v>
      </c>
      <c r="F90">
        <f t="shared" si="8"/>
        <v>0</v>
      </c>
      <c r="G90">
        <f t="shared" si="9"/>
        <v>0</v>
      </c>
      <c r="H90">
        <f t="shared" si="10"/>
        <v>1</v>
      </c>
      <c r="I90">
        <f t="shared" si="11"/>
        <v>0</v>
      </c>
      <c r="J90">
        <f t="shared" si="12"/>
        <v>0</v>
      </c>
      <c r="K90">
        <f t="shared" si="13"/>
        <v>0</v>
      </c>
      <c r="L90">
        <v>2</v>
      </c>
      <c r="M90">
        <v>24.71</v>
      </c>
      <c r="N90">
        <v>5.85</v>
      </c>
    </row>
    <row r="91" spans="1:14" x14ac:dyDescent="0.35">
      <c r="A91" t="s">
        <v>11</v>
      </c>
      <c r="B91" t="s">
        <v>8</v>
      </c>
      <c r="C91" t="s">
        <v>23</v>
      </c>
      <c r="D91" t="s">
        <v>24</v>
      </c>
      <c r="E91">
        <f t="shared" si="7"/>
        <v>1</v>
      </c>
      <c r="F91">
        <f t="shared" si="8"/>
        <v>0</v>
      </c>
      <c r="G91">
        <f t="shared" si="9"/>
        <v>0</v>
      </c>
      <c r="H91">
        <f t="shared" si="10"/>
        <v>1</v>
      </c>
      <c r="I91">
        <f t="shared" si="11"/>
        <v>0</v>
      </c>
      <c r="J91">
        <f t="shared" si="12"/>
        <v>0</v>
      </c>
      <c r="K91">
        <f t="shared" si="13"/>
        <v>0</v>
      </c>
      <c r="L91">
        <v>2</v>
      </c>
      <c r="M91">
        <v>21.16</v>
      </c>
      <c r="N91">
        <v>3</v>
      </c>
    </row>
    <row r="92" spans="1:14" x14ac:dyDescent="0.35">
      <c r="A92" t="s">
        <v>11</v>
      </c>
      <c r="B92" t="s">
        <v>22</v>
      </c>
      <c r="C92" t="s">
        <v>25</v>
      </c>
      <c r="D92" t="s">
        <v>10</v>
      </c>
      <c r="E92">
        <f t="shared" si="7"/>
        <v>1</v>
      </c>
      <c r="F92">
        <f t="shared" si="8"/>
        <v>1</v>
      </c>
      <c r="G92">
        <f t="shared" si="9"/>
        <v>1</v>
      </c>
      <c r="H92">
        <f t="shared" si="10"/>
        <v>0</v>
      </c>
      <c r="I92">
        <f t="shared" si="11"/>
        <v>1</v>
      </c>
      <c r="J92">
        <f t="shared" si="12"/>
        <v>0</v>
      </c>
      <c r="K92">
        <f t="shared" si="13"/>
        <v>0</v>
      </c>
      <c r="L92">
        <v>2</v>
      </c>
      <c r="M92">
        <v>28.97</v>
      </c>
      <c r="N92">
        <v>3</v>
      </c>
    </row>
    <row r="93" spans="1:14" x14ac:dyDescent="0.35">
      <c r="A93" t="s">
        <v>11</v>
      </c>
      <c r="B93" t="s">
        <v>8</v>
      </c>
      <c r="C93" t="s">
        <v>25</v>
      </c>
      <c r="D93" t="s">
        <v>10</v>
      </c>
      <c r="E93">
        <f t="shared" si="7"/>
        <v>1</v>
      </c>
      <c r="F93">
        <f t="shared" si="8"/>
        <v>0</v>
      </c>
      <c r="G93">
        <f t="shared" si="9"/>
        <v>1</v>
      </c>
      <c r="H93">
        <f t="shared" si="10"/>
        <v>0</v>
      </c>
      <c r="I93">
        <f t="shared" si="11"/>
        <v>1</v>
      </c>
      <c r="J93">
        <f t="shared" si="12"/>
        <v>0</v>
      </c>
      <c r="K93">
        <f t="shared" si="13"/>
        <v>0</v>
      </c>
      <c r="L93">
        <v>2</v>
      </c>
      <c r="M93">
        <v>22.49</v>
      </c>
      <c r="N93">
        <v>3.5</v>
      </c>
    </row>
    <row r="94" spans="1:14" x14ac:dyDescent="0.35">
      <c r="A94" t="s">
        <v>7</v>
      </c>
      <c r="B94" t="s">
        <v>22</v>
      </c>
      <c r="C94" t="s">
        <v>25</v>
      </c>
      <c r="D94" t="s">
        <v>10</v>
      </c>
      <c r="E94">
        <f t="shared" si="7"/>
        <v>0</v>
      </c>
      <c r="F94">
        <f t="shared" si="8"/>
        <v>1</v>
      </c>
      <c r="G94">
        <f t="shared" si="9"/>
        <v>1</v>
      </c>
      <c r="H94">
        <f t="shared" si="10"/>
        <v>0</v>
      </c>
      <c r="I94">
        <f t="shared" si="11"/>
        <v>1</v>
      </c>
      <c r="J94">
        <f t="shared" si="12"/>
        <v>0</v>
      </c>
      <c r="K94">
        <f t="shared" si="13"/>
        <v>0</v>
      </c>
      <c r="L94">
        <v>2</v>
      </c>
      <c r="M94">
        <v>5.75</v>
      </c>
      <c r="N94">
        <v>1</v>
      </c>
    </row>
    <row r="95" spans="1:14" x14ac:dyDescent="0.35">
      <c r="A95" t="s">
        <v>7</v>
      </c>
      <c r="B95" t="s">
        <v>22</v>
      </c>
      <c r="C95" t="s">
        <v>25</v>
      </c>
      <c r="D95" t="s">
        <v>10</v>
      </c>
      <c r="E95">
        <f t="shared" si="7"/>
        <v>0</v>
      </c>
      <c r="F95">
        <f t="shared" si="8"/>
        <v>1</v>
      </c>
      <c r="G95">
        <f t="shared" si="9"/>
        <v>1</v>
      </c>
      <c r="H95">
        <f t="shared" si="10"/>
        <v>0</v>
      </c>
      <c r="I95">
        <f t="shared" si="11"/>
        <v>1</v>
      </c>
      <c r="J95">
        <f t="shared" si="12"/>
        <v>0</v>
      </c>
      <c r="K95">
        <f t="shared" si="13"/>
        <v>0</v>
      </c>
      <c r="L95">
        <v>2</v>
      </c>
      <c r="M95">
        <v>16.32</v>
      </c>
      <c r="N95">
        <v>4.3</v>
      </c>
    </row>
    <row r="96" spans="1:14" x14ac:dyDescent="0.35">
      <c r="A96" t="s">
        <v>7</v>
      </c>
      <c r="B96" t="s">
        <v>8</v>
      </c>
      <c r="C96" t="s">
        <v>25</v>
      </c>
      <c r="D96" t="s">
        <v>10</v>
      </c>
      <c r="E96">
        <f t="shared" si="7"/>
        <v>0</v>
      </c>
      <c r="F96">
        <f t="shared" si="8"/>
        <v>0</v>
      </c>
      <c r="G96">
        <f t="shared" si="9"/>
        <v>1</v>
      </c>
      <c r="H96">
        <f t="shared" si="10"/>
        <v>0</v>
      </c>
      <c r="I96">
        <f t="shared" si="11"/>
        <v>1</v>
      </c>
      <c r="J96">
        <f t="shared" si="12"/>
        <v>0</v>
      </c>
      <c r="K96">
        <f t="shared" si="13"/>
        <v>0</v>
      </c>
      <c r="L96">
        <v>2</v>
      </c>
      <c r="M96">
        <v>22.75</v>
      </c>
      <c r="N96">
        <v>3.25</v>
      </c>
    </row>
    <row r="97" spans="1:14" x14ac:dyDescent="0.35">
      <c r="A97" t="s">
        <v>11</v>
      </c>
      <c r="B97" t="s">
        <v>22</v>
      </c>
      <c r="C97" t="s">
        <v>25</v>
      </c>
      <c r="D97" t="s">
        <v>10</v>
      </c>
      <c r="E97">
        <f t="shared" si="7"/>
        <v>1</v>
      </c>
      <c r="F97">
        <f t="shared" si="8"/>
        <v>1</v>
      </c>
      <c r="G97">
        <f t="shared" si="9"/>
        <v>1</v>
      </c>
      <c r="H97">
        <f t="shared" si="10"/>
        <v>0</v>
      </c>
      <c r="I97">
        <f t="shared" si="11"/>
        <v>1</v>
      </c>
      <c r="J97">
        <f t="shared" si="12"/>
        <v>0</v>
      </c>
      <c r="K97">
        <f t="shared" si="13"/>
        <v>0</v>
      </c>
      <c r="L97">
        <v>4</v>
      </c>
      <c r="M97">
        <v>40.17</v>
      </c>
      <c r="N97">
        <v>4.7300000000000004</v>
      </c>
    </row>
    <row r="98" spans="1:14" x14ac:dyDescent="0.35">
      <c r="A98" t="s">
        <v>11</v>
      </c>
      <c r="B98" t="s">
        <v>22</v>
      </c>
      <c r="C98" t="s">
        <v>25</v>
      </c>
      <c r="D98" t="s">
        <v>10</v>
      </c>
      <c r="E98">
        <f t="shared" si="7"/>
        <v>1</v>
      </c>
      <c r="F98">
        <f t="shared" si="8"/>
        <v>1</v>
      </c>
      <c r="G98">
        <f t="shared" si="9"/>
        <v>1</v>
      </c>
      <c r="H98">
        <f t="shared" si="10"/>
        <v>0</v>
      </c>
      <c r="I98">
        <f t="shared" si="11"/>
        <v>1</v>
      </c>
      <c r="J98">
        <f t="shared" si="12"/>
        <v>0</v>
      </c>
      <c r="K98">
        <f t="shared" si="13"/>
        <v>0</v>
      </c>
      <c r="L98">
        <v>2</v>
      </c>
      <c r="M98">
        <v>27.28</v>
      </c>
      <c r="N98">
        <v>4</v>
      </c>
    </row>
    <row r="99" spans="1:14" x14ac:dyDescent="0.35">
      <c r="A99" t="s">
        <v>11</v>
      </c>
      <c r="B99" t="s">
        <v>22</v>
      </c>
      <c r="C99" t="s">
        <v>25</v>
      </c>
      <c r="D99" t="s">
        <v>10</v>
      </c>
      <c r="E99">
        <f t="shared" si="7"/>
        <v>1</v>
      </c>
      <c r="F99">
        <f t="shared" si="8"/>
        <v>1</v>
      </c>
      <c r="G99">
        <f t="shared" si="9"/>
        <v>1</v>
      </c>
      <c r="H99">
        <f t="shared" si="10"/>
        <v>0</v>
      </c>
      <c r="I99">
        <f t="shared" si="11"/>
        <v>1</v>
      </c>
      <c r="J99">
        <f t="shared" si="12"/>
        <v>0</v>
      </c>
      <c r="K99">
        <f t="shared" si="13"/>
        <v>0</v>
      </c>
      <c r="L99">
        <v>2</v>
      </c>
      <c r="M99">
        <v>12.03</v>
      </c>
      <c r="N99">
        <v>1.5</v>
      </c>
    </row>
    <row r="100" spans="1:14" x14ac:dyDescent="0.35">
      <c r="A100" t="s">
        <v>11</v>
      </c>
      <c r="B100" t="s">
        <v>22</v>
      </c>
      <c r="C100" t="s">
        <v>25</v>
      </c>
      <c r="D100" t="s">
        <v>10</v>
      </c>
      <c r="E100">
        <f t="shared" si="7"/>
        <v>1</v>
      </c>
      <c r="F100">
        <f t="shared" si="8"/>
        <v>1</v>
      </c>
      <c r="G100">
        <f t="shared" si="9"/>
        <v>1</v>
      </c>
      <c r="H100">
        <f t="shared" si="10"/>
        <v>0</v>
      </c>
      <c r="I100">
        <f t="shared" si="11"/>
        <v>1</v>
      </c>
      <c r="J100">
        <f t="shared" si="12"/>
        <v>0</v>
      </c>
      <c r="K100">
        <f t="shared" si="13"/>
        <v>0</v>
      </c>
      <c r="L100">
        <v>2</v>
      </c>
      <c r="M100">
        <v>21.01</v>
      </c>
      <c r="N100">
        <v>3</v>
      </c>
    </row>
    <row r="101" spans="1:14" x14ac:dyDescent="0.35">
      <c r="A101" t="s">
        <v>11</v>
      </c>
      <c r="B101" t="s">
        <v>8</v>
      </c>
      <c r="C101" t="s">
        <v>25</v>
      </c>
      <c r="D101" t="s">
        <v>10</v>
      </c>
      <c r="E101">
        <f t="shared" si="7"/>
        <v>1</v>
      </c>
      <c r="F101">
        <f t="shared" si="8"/>
        <v>0</v>
      </c>
      <c r="G101">
        <f t="shared" si="9"/>
        <v>1</v>
      </c>
      <c r="H101">
        <f t="shared" si="10"/>
        <v>0</v>
      </c>
      <c r="I101">
        <f t="shared" si="11"/>
        <v>1</v>
      </c>
      <c r="J101">
        <f t="shared" si="12"/>
        <v>0</v>
      </c>
      <c r="K101">
        <f t="shared" si="13"/>
        <v>0</v>
      </c>
      <c r="L101">
        <v>2</v>
      </c>
      <c r="M101">
        <v>12.46</v>
      </c>
      <c r="N101">
        <v>1.5</v>
      </c>
    </row>
    <row r="102" spans="1:14" x14ac:dyDescent="0.35">
      <c r="A102" t="s">
        <v>7</v>
      </c>
      <c r="B102" t="s">
        <v>22</v>
      </c>
      <c r="C102" t="s">
        <v>25</v>
      </c>
      <c r="D102" t="s">
        <v>10</v>
      </c>
      <c r="E102">
        <f t="shared" si="7"/>
        <v>0</v>
      </c>
      <c r="F102">
        <f t="shared" si="8"/>
        <v>1</v>
      </c>
      <c r="G102">
        <f t="shared" si="9"/>
        <v>1</v>
      </c>
      <c r="H102">
        <f t="shared" si="10"/>
        <v>0</v>
      </c>
      <c r="I102">
        <f t="shared" si="11"/>
        <v>1</v>
      </c>
      <c r="J102">
        <f t="shared" si="12"/>
        <v>0</v>
      </c>
      <c r="K102">
        <f t="shared" si="13"/>
        <v>0</v>
      </c>
      <c r="L102">
        <v>2</v>
      </c>
      <c r="M102">
        <v>11.35</v>
      </c>
      <c r="N102">
        <v>2.5</v>
      </c>
    </row>
    <row r="103" spans="1:14" x14ac:dyDescent="0.35">
      <c r="A103" t="s">
        <v>7</v>
      </c>
      <c r="B103" t="s">
        <v>22</v>
      </c>
      <c r="C103" t="s">
        <v>25</v>
      </c>
      <c r="D103" t="s">
        <v>10</v>
      </c>
      <c r="E103">
        <f t="shared" si="7"/>
        <v>0</v>
      </c>
      <c r="F103">
        <f t="shared" si="8"/>
        <v>1</v>
      </c>
      <c r="G103">
        <f t="shared" si="9"/>
        <v>1</v>
      </c>
      <c r="H103">
        <f t="shared" si="10"/>
        <v>0</v>
      </c>
      <c r="I103">
        <f t="shared" si="11"/>
        <v>1</v>
      </c>
      <c r="J103">
        <f t="shared" si="12"/>
        <v>0</v>
      </c>
      <c r="K103">
        <f t="shared" si="13"/>
        <v>0</v>
      </c>
      <c r="L103">
        <v>2</v>
      </c>
      <c r="M103">
        <v>15.38</v>
      </c>
      <c r="N103">
        <v>3</v>
      </c>
    </row>
    <row r="104" spans="1:14" x14ac:dyDescent="0.35">
      <c r="A104" t="s">
        <v>7</v>
      </c>
      <c r="B104" t="s">
        <v>22</v>
      </c>
      <c r="C104" t="s">
        <v>21</v>
      </c>
      <c r="D104" t="s">
        <v>10</v>
      </c>
      <c r="E104">
        <f t="shared" si="7"/>
        <v>0</v>
      </c>
      <c r="F104">
        <f t="shared" si="8"/>
        <v>1</v>
      </c>
      <c r="G104">
        <f t="shared" si="9"/>
        <v>1</v>
      </c>
      <c r="H104">
        <f t="shared" si="10"/>
        <v>0</v>
      </c>
      <c r="I104">
        <f t="shared" si="11"/>
        <v>0</v>
      </c>
      <c r="J104">
        <f t="shared" si="12"/>
        <v>1</v>
      </c>
      <c r="K104">
        <f t="shared" si="13"/>
        <v>0</v>
      </c>
      <c r="L104">
        <v>3</v>
      </c>
      <c r="M104">
        <v>44.3</v>
      </c>
      <c r="N104">
        <v>2.5</v>
      </c>
    </row>
    <row r="105" spans="1:14" x14ac:dyDescent="0.35">
      <c r="A105" t="s">
        <v>7</v>
      </c>
      <c r="B105" t="s">
        <v>22</v>
      </c>
      <c r="C105" t="s">
        <v>21</v>
      </c>
      <c r="D105" t="s">
        <v>10</v>
      </c>
      <c r="E105">
        <f t="shared" si="7"/>
        <v>0</v>
      </c>
      <c r="F105">
        <f t="shared" si="8"/>
        <v>1</v>
      </c>
      <c r="G105">
        <f t="shared" si="9"/>
        <v>1</v>
      </c>
      <c r="H105">
        <f t="shared" si="10"/>
        <v>0</v>
      </c>
      <c r="I105">
        <f t="shared" si="11"/>
        <v>0</v>
      </c>
      <c r="J105">
        <f t="shared" si="12"/>
        <v>1</v>
      </c>
      <c r="K105">
        <f t="shared" si="13"/>
        <v>0</v>
      </c>
      <c r="L105">
        <v>2</v>
      </c>
      <c r="M105">
        <v>22.42</v>
      </c>
      <c r="N105">
        <v>3.48</v>
      </c>
    </row>
    <row r="106" spans="1:14" x14ac:dyDescent="0.35">
      <c r="A106" t="s">
        <v>7</v>
      </c>
      <c r="B106" t="s">
        <v>8</v>
      </c>
      <c r="C106" t="s">
        <v>21</v>
      </c>
      <c r="D106" t="s">
        <v>10</v>
      </c>
      <c r="E106">
        <f t="shared" si="7"/>
        <v>0</v>
      </c>
      <c r="F106">
        <f t="shared" si="8"/>
        <v>0</v>
      </c>
      <c r="G106">
        <f t="shared" si="9"/>
        <v>1</v>
      </c>
      <c r="H106">
        <f t="shared" si="10"/>
        <v>0</v>
      </c>
      <c r="I106">
        <f t="shared" si="11"/>
        <v>0</v>
      </c>
      <c r="J106">
        <f t="shared" si="12"/>
        <v>1</v>
      </c>
      <c r="K106">
        <f t="shared" si="13"/>
        <v>0</v>
      </c>
      <c r="L106">
        <v>2</v>
      </c>
      <c r="M106">
        <v>20.92</v>
      </c>
      <c r="N106">
        <v>4.08</v>
      </c>
    </row>
    <row r="107" spans="1:14" x14ac:dyDescent="0.35">
      <c r="A107" t="s">
        <v>11</v>
      </c>
      <c r="B107" t="s">
        <v>22</v>
      </c>
      <c r="C107" t="s">
        <v>21</v>
      </c>
      <c r="D107" t="s">
        <v>10</v>
      </c>
      <c r="E107">
        <f t="shared" si="7"/>
        <v>1</v>
      </c>
      <c r="F107">
        <f t="shared" si="8"/>
        <v>1</v>
      </c>
      <c r="G107">
        <f t="shared" si="9"/>
        <v>1</v>
      </c>
      <c r="H107">
        <f t="shared" si="10"/>
        <v>0</v>
      </c>
      <c r="I107">
        <f t="shared" si="11"/>
        <v>0</v>
      </c>
      <c r="J107">
        <f t="shared" si="12"/>
        <v>1</v>
      </c>
      <c r="K107">
        <f t="shared" si="13"/>
        <v>0</v>
      </c>
      <c r="L107">
        <v>2</v>
      </c>
      <c r="M107">
        <v>15.36</v>
      </c>
      <c r="N107">
        <v>1.64</v>
      </c>
    </row>
    <row r="108" spans="1:14" x14ac:dyDescent="0.35">
      <c r="A108" t="s">
        <v>11</v>
      </c>
      <c r="B108" t="s">
        <v>22</v>
      </c>
      <c r="C108" t="s">
        <v>21</v>
      </c>
      <c r="D108" t="s">
        <v>10</v>
      </c>
      <c r="E108">
        <f t="shared" si="7"/>
        <v>1</v>
      </c>
      <c r="F108">
        <f t="shared" si="8"/>
        <v>1</v>
      </c>
      <c r="G108">
        <f t="shared" si="9"/>
        <v>1</v>
      </c>
      <c r="H108">
        <f t="shared" si="10"/>
        <v>0</v>
      </c>
      <c r="I108">
        <f t="shared" si="11"/>
        <v>0</v>
      </c>
      <c r="J108">
        <f t="shared" si="12"/>
        <v>1</v>
      </c>
      <c r="K108">
        <f t="shared" si="13"/>
        <v>0</v>
      </c>
      <c r="L108">
        <v>2</v>
      </c>
      <c r="M108">
        <v>20.49</v>
      </c>
      <c r="N108">
        <v>4.0599999999999996</v>
      </c>
    </row>
    <row r="109" spans="1:14" x14ac:dyDescent="0.35">
      <c r="A109" t="s">
        <v>11</v>
      </c>
      <c r="B109" t="s">
        <v>22</v>
      </c>
      <c r="C109" t="s">
        <v>21</v>
      </c>
      <c r="D109" t="s">
        <v>10</v>
      </c>
      <c r="E109">
        <f t="shared" si="7"/>
        <v>1</v>
      </c>
      <c r="F109">
        <f t="shared" si="8"/>
        <v>1</v>
      </c>
      <c r="G109">
        <f t="shared" si="9"/>
        <v>1</v>
      </c>
      <c r="H109">
        <f t="shared" si="10"/>
        <v>0</v>
      </c>
      <c r="I109">
        <f t="shared" si="11"/>
        <v>0</v>
      </c>
      <c r="J109">
        <f t="shared" si="12"/>
        <v>1</v>
      </c>
      <c r="K109">
        <f t="shared" si="13"/>
        <v>0</v>
      </c>
      <c r="L109">
        <v>2</v>
      </c>
      <c r="M109">
        <v>25.21</v>
      </c>
      <c r="N109">
        <v>4.29</v>
      </c>
    </row>
    <row r="110" spans="1:14" x14ac:dyDescent="0.35">
      <c r="A110" t="s">
        <v>11</v>
      </c>
      <c r="B110" t="s">
        <v>8</v>
      </c>
      <c r="C110" t="s">
        <v>21</v>
      </c>
      <c r="D110" t="s">
        <v>10</v>
      </c>
      <c r="E110">
        <f t="shared" si="7"/>
        <v>1</v>
      </c>
      <c r="F110">
        <f t="shared" si="8"/>
        <v>0</v>
      </c>
      <c r="G110">
        <f t="shared" si="9"/>
        <v>1</v>
      </c>
      <c r="H110">
        <f t="shared" si="10"/>
        <v>0</v>
      </c>
      <c r="I110">
        <f t="shared" si="11"/>
        <v>0</v>
      </c>
      <c r="J110">
        <f t="shared" si="12"/>
        <v>1</v>
      </c>
      <c r="K110">
        <f t="shared" si="13"/>
        <v>0</v>
      </c>
      <c r="L110">
        <v>2</v>
      </c>
      <c r="M110">
        <v>18.239999999999998</v>
      </c>
      <c r="N110">
        <v>3.76</v>
      </c>
    </row>
    <row r="111" spans="1:14" x14ac:dyDescent="0.35">
      <c r="A111" t="s">
        <v>7</v>
      </c>
      <c r="B111" t="s">
        <v>22</v>
      </c>
      <c r="C111" t="s">
        <v>21</v>
      </c>
      <c r="D111" t="s">
        <v>10</v>
      </c>
      <c r="E111">
        <f t="shared" si="7"/>
        <v>0</v>
      </c>
      <c r="F111">
        <f t="shared" si="8"/>
        <v>1</v>
      </c>
      <c r="G111">
        <f t="shared" si="9"/>
        <v>1</v>
      </c>
      <c r="H111">
        <f t="shared" si="10"/>
        <v>0</v>
      </c>
      <c r="I111">
        <f t="shared" si="11"/>
        <v>0</v>
      </c>
      <c r="J111">
        <f t="shared" si="12"/>
        <v>1</v>
      </c>
      <c r="K111">
        <f t="shared" si="13"/>
        <v>0</v>
      </c>
      <c r="L111">
        <v>2</v>
      </c>
      <c r="M111">
        <v>14.31</v>
      </c>
      <c r="N111">
        <v>4</v>
      </c>
    </row>
    <row r="112" spans="1:14" x14ac:dyDescent="0.35">
      <c r="A112" t="s">
        <v>11</v>
      </c>
      <c r="B112" t="s">
        <v>8</v>
      </c>
      <c r="C112" t="s">
        <v>21</v>
      </c>
      <c r="D112" t="s">
        <v>10</v>
      </c>
      <c r="E112">
        <f t="shared" si="7"/>
        <v>1</v>
      </c>
      <c r="F112">
        <f t="shared" si="8"/>
        <v>0</v>
      </c>
      <c r="G112">
        <f t="shared" si="9"/>
        <v>1</v>
      </c>
      <c r="H112">
        <f t="shared" si="10"/>
        <v>0</v>
      </c>
      <c r="I112">
        <f t="shared" si="11"/>
        <v>0</v>
      </c>
      <c r="J112">
        <f t="shared" si="12"/>
        <v>1</v>
      </c>
      <c r="K112">
        <f t="shared" si="13"/>
        <v>0</v>
      </c>
      <c r="L112">
        <v>2</v>
      </c>
      <c r="M112">
        <v>14</v>
      </c>
      <c r="N112">
        <v>3</v>
      </c>
    </row>
    <row r="113" spans="1:14" x14ac:dyDescent="0.35">
      <c r="A113" t="s">
        <v>7</v>
      </c>
      <c r="B113" t="s">
        <v>8</v>
      </c>
      <c r="C113" t="s">
        <v>21</v>
      </c>
      <c r="D113" t="s">
        <v>10</v>
      </c>
      <c r="E113">
        <f t="shared" si="7"/>
        <v>0</v>
      </c>
      <c r="F113">
        <f t="shared" si="8"/>
        <v>0</v>
      </c>
      <c r="G113">
        <f t="shared" si="9"/>
        <v>1</v>
      </c>
      <c r="H113">
        <f t="shared" si="10"/>
        <v>0</v>
      </c>
      <c r="I113">
        <f t="shared" si="11"/>
        <v>0</v>
      </c>
      <c r="J113">
        <f t="shared" si="12"/>
        <v>1</v>
      </c>
      <c r="K113">
        <f t="shared" si="13"/>
        <v>0</v>
      </c>
      <c r="L113">
        <v>1</v>
      </c>
      <c r="M113">
        <v>7.25</v>
      </c>
      <c r="N113">
        <v>1</v>
      </c>
    </row>
    <row r="114" spans="1:14" x14ac:dyDescent="0.35">
      <c r="A114" t="s">
        <v>11</v>
      </c>
      <c r="B114" t="s">
        <v>8</v>
      </c>
      <c r="C114" t="s">
        <v>9</v>
      </c>
      <c r="D114" t="s">
        <v>10</v>
      </c>
      <c r="E114">
        <f t="shared" si="7"/>
        <v>1</v>
      </c>
      <c r="F114">
        <f t="shared" si="8"/>
        <v>0</v>
      </c>
      <c r="G114">
        <f t="shared" si="9"/>
        <v>1</v>
      </c>
      <c r="H114">
        <f t="shared" si="10"/>
        <v>0</v>
      </c>
      <c r="I114">
        <f t="shared" si="11"/>
        <v>0</v>
      </c>
      <c r="J114">
        <f t="shared" si="12"/>
        <v>0</v>
      </c>
      <c r="K114">
        <f t="shared" si="13"/>
        <v>1</v>
      </c>
      <c r="L114">
        <v>3</v>
      </c>
      <c r="M114">
        <v>38.07</v>
      </c>
      <c r="N114">
        <v>4</v>
      </c>
    </row>
    <row r="115" spans="1:14" x14ac:dyDescent="0.35">
      <c r="A115" t="s">
        <v>11</v>
      </c>
      <c r="B115" t="s">
        <v>8</v>
      </c>
      <c r="C115" t="s">
        <v>9</v>
      </c>
      <c r="D115" t="s">
        <v>10</v>
      </c>
      <c r="E115">
        <f t="shared" si="7"/>
        <v>1</v>
      </c>
      <c r="F115">
        <f t="shared" si="8"/>
        <v>0</v>
      </c>
      <c r="G115">
        <f t="shared" si="9"/>
        <v>1</v>
      </c>
      <c r="H115">
        <f t="shared" si="10"/>
        <v>0</v>
      </c>
      <c r="I115">
        <f t="shared" si="11"/>
        <v>0</v>
      </c>
      <c r="J115">
        <f t="shared" si="12"/>
        <v>0</v>
      </c>
      <c r="K115">
        <f t="shared" si="13"/>
        <v>1</v>
      </c>
      <c r="L115">
        <v>2</v>
      </c>
      <c r="M115">
        <v>23.95</v>
      </c>
      <c r="N115">
        <v>2.5499999999999998</v>
      </c>
    </row>
    <row r="116" spans="1:14" x14ac:dyDescent="0.35">
      <c r="A116" t="s">
        <v>7</v>
      </c>
      <c r="B116" t="s">
        <v>8</v>
      </c>
      <c r="C116" t="s">
        <v>9</v>
      </c>
      <c r="D116" t="s">
        <v>10</v>
      </c>
      <c r="E116">
        <f t="shared" si="7"/>
        <v>0</v>
      </c>
      <c r="F116">
        <f t="shared" si="8"/>
        <v>0</v>
      </c>
      <c r="G116">
        <f t="shared" si="9"/>
        <v>1</v>
      </c>
      <c r="H116">
        <f t="shared" si="10"/>
        <v>0</v>
      </c>
      <c r="I116">
        <f t="shared" si="11"/>
        <v>0</v>
      </c>
      <c r="J116">
        <f t="shared" si="12"/>
        <v>0</v>
      </c>
      <c r="K116">
        <f t="shared" si="13"/>
        <v>1</v>
      </c>
      <c r="L116">
        <v>3</v>
      </c>
      <c r="M116">
        <v>25.71</v>
      </c>
      <c r="N116">
        <v>4</v>
      </c>
    </row>
    <row r="117" spans="1:14" x14ac:dyDescent="0.35">
      <c r="A117" t="s">
        <v>7</v>
      </c>
      <c r="B117" t="s">
        <v>8</v>
      </c>
      <c r="C117" t="s">
        <v>9</v>
      </c>
      <c r="D117" t="s">
        <v>10</v>
      </c>
      <c r="E117">
        <f t="shared" si="7"/>
        <v>0</v>
      </c>
      <c r="F117">
        <f t="shared" si="8"/>
        <v>0</v>
      </c>
      <c r="G117">
        <f t="shared" si="9"/>
        <v>1</v>
      </c>
      <c r="H117">
        <f t="shared" si="10"/>
        <v>0</v>
      </c>
      <c r="I117">
        <f t="shared" si="11"/>
        <v>0</v>
      </c>
      <c r="J117">
        <f t="shared" si="12"/>
        <v>0</v>
      </c>
      <c r="K117">
        <f t="shared" si="13"/>
        <v>1</v>
      </c>
      <c r="L117">
        <v>2</v>
      </c>
      <c r="M117">
        <v>17.309999999999999</v>
      </c>
      <c r="N117">
        <v>3.5</v>
      </c>
    </row>
    <row r="118" spans="1:14" x14ac:dyDescent="0.35">
      <c r="A118" t="s">
        <v>11</v>
      </c>
      <c r="B118" t="s">
        <v>8</v>
      </c>
      <c r="C118" t="s">
        <v>9</v>
      </c>
      <c r="D118" t="s">
        <v>10</v>
      </c>
      <c r="E118">
        <f t="shared" si="7"/>
        <v>1</v>
      </c>
      <c r="F118">
        <f t="shared" si="8"/>
        <v>0</v>
      </c>
      <c r="G118">
        <f t="shared" si="9"/>
        <v>1</v>
      </c>
      <c r="H118">
        <f t="shared" si="10"/>
        <v>0</v>
      </c>
      <c r="I118">
        <f t="shared" si="11"/>
        <v>0</v>
      </c>
      <c r="J118">
        <f t="shared" si="12"/>
        <v>0</v>
      </c>
      <c r="K118">
        <f t="shared" si="13"/>
        <v>1</v>
      </c>
      <c r="L118">
        <v>4</v>
      </c>
      <c r="M118">
        <v>29.93</v>
      </c>
      <c r="N118">
        <v>5.07</v>
      </c>
    </row>
    <row r="119" spans="1:14" x14ac:dyDescent="0.35">
      <c r="A119" t="s">
        <v>7</v>
      </c>
      <c r="B119" t="s">
        <v>8</v>
      </c>
      <c r="C119" t="s">
        <v>23</v>
      </c>
      <c r="D119" t="s">
        <v>24</v>
      </c>
      <c r="E119">
        <f t="shared" si="7"/>
        <v>0</v>
      </c>
      <c r="F119">
        <f t="shared" si="8"/>
        <v>0</v>
      </c>
      <c r="G119">
        <f t="shared" si="9"/>
        <v>0</v>
      </c>
      <c r="H119">
        <f t="shared" si="10"/>
        <v>1</v>
      </c>
      <c r="I119">
        <f t="shared" si="11"/>
        <v>0</v>
      </c>
      <c r="J119">
        <f t="shared" si="12"/>
        <v>0</v>
      </c>
      <c r="K119">
        <f t="shared" si="13"/>
        <v>0</v>
      </c>
      <c r="L119">
        <v>2</v>
      </c>
      <c r="M119">
        <v>10.65</v>
      </c>
      <c r="N119">
        <v>1.5</v>
      </c>
    </row>
    <row r="120" spans="1:14" x14ac:dyDescent="0.35">
      <c r="A120" t="s">
        <v>7</v>
      </c>
      <c r="B120" t="s">
        <v>8</v>
      </c>
      <c r="C120" t="s">
        <v>23</v>
      </c>
      <c r="D120" t="s">
        <v>24</v>
      </c>
      <c r="E120">
        <f t="shared" si="7"/>
        <v>0</v>
      </c>
      <c r="F120">
        <f t="shared" si="8"/>
        <v>0</v>
      </c>
      <c r="G120">
        <f t="shared" si="9"/>
        <v>0</v>
      </c>
      <c r="H120">
        <f t="shared" si="10"/>
        <v>1</v>
      </c>
      <c r="I120">
        <f t="shared" si="11"/>
        <v>0</v>
      </c>
      <c r="J120">
        <f t="shared" si="12"/>
        <v>0</v>
      </c>
      <c r="K120">
        <f t="shared" si="13"/>
        <v>0</v>
      </c>
      <c r="L120">
        <v>2</v>
      </c>
      <c r="M120">
        <v>12.43</v>
      </c>
      <c r="N120">
        <v>1.8</v>
      </c>
    </row>
    <row r="121" spans="1:14" x14ac:dyDescent="0.35">
      <c r="A121" t="s">
        <v>7</v>
      </c>
      <c r="B121" t="s">
        <v>8</v>
      </c>
      <c r="C121" t="s">
        <v>23</v>
      </c>
      <c r="D121" t="s">
        <v>24</v>
      </c>
      <c r="E121">
        <f t="shared" si="7"/>
        <v>0</v>
      </c>
      <c r="F121">
        <f t="shared" si="8"/>
        <v>0</v>
      </c>
      <c r="G121">
        <f t="shared" si="9"/>
        <v>0</v>
      </c>
      <c r="H121">
        <f t="shared" si="10"/>
        <v>1</v>
      </c>
      <c r="I121">
        <f t="shared" si="11"/>
        <v>0</v>
      </c>
      <c r="J121">
        <f t="shared" si="12"/>
        <v>0</v>
      </c>
      <c r="K121">
        <f t="shared" si="13"/>
        <v>0</v>
      </c>
      <c r="L121">
        <v>4</v>
      </c>
      <c r="M121">
        <v>24.08</v>
      </c>
      <c r="N121">
        <v>2.92</v>
      </c>
    </row>
    <row r="122" spans="1:14" x14ac:dyDescent="0.35">
      <c r="A122" t="s">
        <v>11</v>
      </c>
      <c r="B122" t="s">
        <v>8</v>
      </c>
      <c r="C122" t="s">
        <v>23</v>
      </c>
      <c r="D122" t="s">
        <v>24</v>
      </c>
      <c r="E122">
        <f t="shared" si="7"/>
        <v>1</v>
      </c>
      <c r="F122">
        <f t="shared" si="8"/>
        <v>0</v>
      </c>
      <c r="G122">
        <f t="shared" si="9"/>
        <v>0</v>
      </c>
      <c r="H122">
        <f t="shared" si="10"/>
        <v>1</v>
      </c>
      <c r="I122">
        <f t="shared" si="11"/>
        <v>0</v>
      </c>
      <c r="J122">
        <f t="shared" si="12"/>
        <v>0</v>
      </c>
      <c r="K122">
        <f t="shared" si="13"/>
        <v>0</v>
      </c>
      <c r="L122">
        <v>2</v>
      </c>
      <c r="M122">
        <v>11.69</v>
      </c>
      <c r="N122">
        <v>2.31</v>
      </c>
    </row>
    <row r="123" spans="1:14" x14ac:dyDescent="0.35">
      <c r="A123" t="s">
        <v>7</v>
      </c>
      <c r="B123" t="s">
        <v>8</v>
      </c>
      <c r="C123" t="s">
        <v>23</v>
      </c>
      <c r="D123" t="s">
        <v>24</v>
      </c>
      <c r="E123">
        <f t="shared" si="7"/>
        <v>0</v>
      </c>
      <c r="F123">
        <f t="shared" si="8"/>
        <v>0</v>
      </c>
      <c r="G123">
        <f t="shared" si="9"/>
        <v>0</v>
      </c>
      <c r="H123">
        <f t="shared" si="10"/>
        <v>1</v>
      </c>
      <c r="I123">
        <f t="shared" si="11"/>
        <v>0</v>
      </c>
      <c r="J123">
        <f t="shared" si="12"/>
        <v>0</v>
      </c>
      <c r="K123">
        <f t="shared" si="13"/>
        <v>0</v>
      </c>
      <c r="L123">
        <v>2</v>
      </c>
      <c r="M123">
        <v>13.42</v>
      </c>
      <c r="N123">
        <v>1.68</v>
      </c>
    </row>
    <row r="124" spans="1:14" x14ac:dyDescent="0.35">
      <c r="A124" t="s">
        <v>11</v>
      </c>
      <c r="B124" t="s">
        <v>8</v>
      </c>
      <c r="C124" t="s">
        <v>23</v>
      </c>
      <c r="D124" t="s">
        <v>24</v>
      </c>
      <c r="E124">
        <f t="shared" si="7"/>
        <v>1</v>
      </c>
      <c r="F124">
        <f t="shared" si="8"/>
        <v>0</v>
      </c>
      <c r="G124">
        <f t="shared" si="9"/>
        <v>0</v>
      </c>
      <c r="H124">
        <f t="shared" si="10"/>
        <v>1</v>
      </c>
      <c r="I124">
        <f t="shared" si="11"/>
        <v>0</v>
      </c>
      <c r="J124">
        <f t="shared" si="12"/>
        <v>0</v>
      </c>
      <c r="K124">
        <f t="shared" si="13"/>
        <v>0</v>
      </c>
      <c r="L124">
        <v>2</v>
      </c>
      <c r="M124">
        <v>14.26</v>
      </c>
      <c r="N124">
        <v>2.5</v>
      </c>
    </row>
    <row r="125" spans="1:14" x14ac:dyDescent="0.35">
      <c r="A125" t="s">
        <v>11</v>
      </c>
      <c r="B125" t="s">
        <v>8</v>
      </c>
      <c r="C125" t="s">
        <v>23</v>
      </c>
      <c r="D125" t="s">
        <v>24</v>
      </c>
      <c r="E125">
        <f t="shared" si="7"/>
        <v>1</v>
      </c>
      <c r="F125">
        <f t="shared" si="8"/>
        <v>0</v>
      </c>
      <c r="G125">
        <f t="shared" si="9"/>
        <v>0</v>
      </c>
      <c r="H125">
        <f t="shared" si="10"/>
        <v>1</v>
      </c>
      <c r="I125">
        <f t="shared" si="11"/>
        <v>0</v>
      </c>
      <c r="J125">
        <f t="shared" si="12"/>
        <v>0</v>
      </c>
      <c r="K125">
        <f t="shared" si="13"/>
        <v>0</v>
      </c>
      <c r="L125">
        <v>2</v>
      </c>
      <c r="M125">
        <v>15.95</v>
      </c>
      <c r="N125">
        <v>2</v>
      </c>
    </row>
    <row r="126" spans="1:14" x14ac:dyDescent="0.35">
      <c r="A126" t="s">
        <v>7</v>
      </c>
      <c r="B126" t="s">
        <v>8</v>
      </c>
      <c r="C126" t="s">
        <v>23</v>
      </c>
      <c r="D126" t="s">
        <v>24</v>
      </c>
      <c r="E126">
        <f t="shared" si="7"/>
        <v>0</v>
      </c>
      <c r="F126">
        <f t="shared" si="8"/>
        <v>0</v>
      </c>
      <c r="G126">
        <f t="shared" si="9"/>
        <v>0</v>
      </c>
      <c r="H126">
        <f t="shared" si="10"/>
        <v>1</v>
      </c>
      <c r="I126">
        <f t="shared" si="11"/>
        <v>0</v>
      </c>
      <c r="J126">
        <f t="shared" si="12"/>
        <v>0</v>
      </c>
      <c r="K126">
        <f t="shared" si="13"/>
        <v>0</v>
      </c>
      <c r="L126">
        <v>2</v>
      </c>
      <c r="M126">
        <v>12.48</v>
      </c>
      <c r="N126">
        <v>2.52</v>
      </c>
    </row>
    <row r="127" spans="1:14" x14ac:dyDescent="0.35">
      <c r="A127" t="s">
        <v>7</v>
      </c>
      <c r="B127" t="s">
        <v>8</v>
      </c>
      <c r="C127" t="s">
        <v>23</v>
      </c>
      <c r="D127" t="s">
        <v>24</v>
      </c>
      <c r="E127">
        <f t="shared" si="7"/>
        <v>0</v>
      </c>
      <c r="F127">
        <f t="shared" si="8"/>
        <v>0</v>
      </c>
      <c r="G127">
        <f t="shared" si="9"/>
        <v>0</v>
      </c>
      <c r="H127">
        <f t="shared" si="10"/>
        <v>1</v>
      </c>
      <c r="I127">
        <f t="shared" si="11"/>
        <v>0</v>
      </c>
      <c r="J127">
        <f t="shared" si="12"/>
        <v>0</v>
      </c>
      <c r="K127">
        <f t="shared" si="13"/>
        <v>0</v>
      </c>
      <c r="L127">
        <v>6</v>
      </c>
      <c r="M127">
        <v>29.8</v>
      </c>
      <c r="N127">
        <v>4.2</v>
      </c>
    </row>
    <row r="128" spans="1:14" x14ac:dyDescent="0.35">
      <c r="A128" t="s">
        <v>11</v>
      </c>
      <c r="B128" t="s">
        <v>8</v>
      </c>
      <c r="C128" t="s">
        <v>23</v>
      </c>
      <c r="D128" t="s">
        <v>24</v>
      </c>
      <c r="E128">
        <f t="shared" si="7"/>
        <v>1</v>
      </c>
      <c r="F128">
        <f t="shared" si="8"/>
        <v>0</v>
      </c>
      <c r="G128">
        <f t="shared" si="9"/>
        <v>0</v>
      </c>
      <c r="H128">
        <f t="shared" si="10"/>
        <v>1</v>
      </c>
      <c r="I128">
        <f t="shared" si="11"/>
        <v>0</v>
      </c>
      <c r="J128">
        <f t="shared" si="12"/>
        <v>0</v>
      </c>
      <c r="K128">
        <f t="shared" si="13"/>
        <v>0</v>
      </c>
      <c r="L128">
        <v>2</v>
      </c>
      <c r="M128">
        <v>8.52</v>
      </c>
      <c r="N128">
        <v>1.48</v>
      </c>
    </row>
    <row r="129" spans="1:14" x14ac:dyDescent="0.35">
      <c r="A129" t="s">
        <v>7</v>
      </c>
      <c r="B129" t="s">
        <v>8</v>
      </c>
      <c r="C129" t="s">
        <v>23</v>
      </c>
      <c r="D129" t="s">
        <v>24</v>
      </c>
      <c r="E129">
        <f t="shared" si="7"/>
        <v>0</v>
      </c>
      <c r="F129">
        <f t="shared" si="8"/>
        <v>0</v>
      </c>
      <c r="G129">
        <f t="shared" si="9"/>
        <v>0</v>
      </c>
      <c r="H129">
        <f t="shared" si="10"/>
        <v>1</v>
      </c>
      <c r="I129">
        <f t="shared" si="11"/>
        <v>0</v>
      </c>
      <c r="J129">
        <f t="shared" si="12"/>
        <v>0</v>
      </c>
      <c r="K129">
        <f t="shared" si="13"/>
        <v>0</v>
      </c>
      <c r="L129">
        <v>2</v>
      </c>
      <c r="M129">
        <v>14.52</v>
      </c>
      <c r="N129">
        <v>2</v>
      </c>
    </row>
    <row r="130" spans="1:14" x14ac:dyDescent="0.35">
      <c r="A130" t="s">
        <v>7</v>
      </c>
      <c r="B130" t="s">
        <v>8</v>
      </c>
      <c r="C130" t="s">
        <v>23</v>
      </c>
      <c r="D130" t="s">
        <v>24</v>
      </c>
      <c r="E130">
        <f t="shared" si="7"/>
        <v>0</v>
      </c>
      <c r="F130">
        <f t="shared" si="8"/>
        <v>0</v>
      </c>
      <c r="G130">
        <f t="shared" si="9"/>
        <v>0</v>
      </c>
      <c r="H130">
        <f t="shared" si="10"/>
        <v>1</v>
      </c>
      <c r="I130">
        <f t="shared" si="11"/>
        <v>0</v>
      </c>
      <c r="J130">
        <f t="shared" si="12"/>
        <v>0</v>
      </c>
      <c r="K130">
        <f t="shared" si="13"/>
        <v>0</v>
      </c>
      <c r="L130">
        <v>2</v>
      </c>
      <c r="M130">
        <v>11.38</v>
      </c>
      <c r="N130">
        <v>2</v>
      </c>
    </row>
    <row r="131" spans="1:14" x14ac:dyDescent="0.35">
      <c r="A131" t="s">
        <v>11</v>
      </c>
      <c r="B131" t="s">
        <v>8</v>
      </c>
      <c r="C131" t="s">
        <v>23</v>
      </c>
      <c r="D131" t="s">
        <v>24</v>
      </c>
      <c r="E131">
        <f t="shared" ref="E131:E194" si="14">IF(A131="Male",1,0)</f>
        <v>1</v>
      </c>
      <c r="F131">
        <f t="shared" ref="F131:F194" si="15">IF(B131="Yes",1,0)</f>
        <v>0</v>
      </c>
      <c r="G131">
        <f t="shared" ref="G131:G194" si="16">IF(D131="Dinner",1,0)</f>
        <v>0</v>
      </c>
      <c r="H131">
        <f t="shared" ref="H131:H194" si="17">IF(C131="Thur",1,0)</f>
        <v>1</v>
      </c>
      <c r="I131">
        <f t="shared" ref="I131:I194" si="18">IF(C131="Fri",1,0)</f>
        <v>0</v>
      </c>
      <c r="J131">
        <f t="shared" ref="J131:J194" si="19">IF(C131="Sat",1,0)</f>
        <v>0</v>
      </c>
      <c r="K131">
        <f t="shared" ref="K131:K194" si="20">IF(C131="Sun",1,0)</f>
        <v>0</v>
      </c>
      <c r="L131">
        <v>3</v>
      </c>
      <c r="M131">
        <v>22.82</v>
      </c>
      <c r="N131">
        <v>2.1800000000000002</v>
      </c>
    </row>
    <row r="132" spans="1:14" x14ac:dyDescent="0.35">
      <c r="A132" t="s">
        <v>11</v>
      </c>
      <c r="B132" t="s">
        <v>8</v>
      </c>
      <c r="C132" t="s">
        <v>23</v>
      </c>
      <c r="D132" t="s">
        <v>24</v>
      </c>
      <c r="E132">
        <f t="shared" si="14"/>
        <v>1</v>
      </c>
      <c r="F132">
        <f t="shared" si="15"/>
        <v>0</v>
      </c>
      <c r="G132">
        <f t="shared" si="16"/>
        <v>0</v>
      </c>
      <c r="H132">
        <f t="shared" si="17"/>
        <v>1</v>
      </c>
      <c r="I132">
        <f t="shared" si="18"/>
        <v>0</v>
      </c>
      <c r="J132">
        <f t="shared" si="19"/>
        <v>0</v>
      </c>
      <c r="K132">
        <f t="shared" si="20"/>
        <v>0</v>
      </c>
      <c r="L132">
        <v>2</v>
      </c>
      <c r="M132">
        <v>19.079999999999998</v>
      </c>
      <c r="N132">
        <v>1.5</v>
      </c>
    </row>
    <row r="133" spans="1:14" x14ac:dyDescent="0.35">
      <c r="A133" t="s">
        <v>7</v>
      </c>
      <c r="B133" t="s">
        <v>8</v>
      </c>
      <c r="C133" t="s">
        <v>23</v>
      </c>
      <c r="D133" t="s">
        <v>24</v>
      </c>
      <c r="E133">
        <f t="shared" si="14"/>
        <v>0</v>
      </c>
      <c r="F133">
        <f t="shared" si="15"/>
        <v>0</v>
      </c>
      <c r="G133">
        <f t="shared" si="16"/>
        <v>0</v>
      </c>
      <c r="H133">
        <f t="shared" si="17"/>
        <v>1</v>
      </c>
      <c r="I133">
        <f t="shared" si="18"/>
        <v>0</v>
      </c>
      <c r="J133">
        <f t="shared" si="19"/>
        <v>0</v>
      </c>
      <c r="K133">
        <f t="shared" si="20"/>
        <v>0</v>
      </c>
      <c r="L133">
        <v>2</v>
      </c>
      <c r="M133">
        <v>20.27</v>
      </c>
      <c r="N133">
        <v>2.83</v>
      </c>
    </row>
    <row r="134" spans="1:14" x14ac:dyDescent="0.35">
      <c r="A134" t="s">
        <v>7</v>
      </c>
      <c r="B134" t="s">
        <v>8</v>
      </c>
      <c r="C134" t="s">
        <v>23</v>
      </c>
      <c r="D134" t="s">
        <v>24</v>
      </c>
      <c r="E134">
        <f t="shared" si="14"/>
        <v>0</v>
      </c>
      <c r="F134">
        <f t="shared" si="15"/>
        <v>0</v>
      </c>
      <c r="G134">
        <f t="shared" si="16"/>
        <v>0</v>
      </c>
      <c r="H134">
        <f t="shared" si="17"/>
        <v>1</v>
      </c>
      <c r="I134">
        <f t="shared" si="18"/>
        <v>0</v>
      </c>
      <c r="J134">
        <f t="shared" si="19"/>
        <v>0</v>
      </c>
      <c r="K134">
        <f t="shared" si="20"/>
        <v>0</v>
      </c>
      <c r="L134">
        <v>2</v>
      </c>
      <c r="M134">
        <v>11.17</v>
      </c>
      <c r="N134">
        <v>1.5</v>
      </c>
    </row>
    <row r="135" spans="1:14" x14ac:dyDescent="0.35">
      <c r="A135" t="s">
        <v>7</v>
      </c>
      <c r="B135" t="s">
        <v>8</v>
      </c>
      <c r="C135" t="s">
        <v>23</v>
      </c>
      <c r="D135" t="s">
        <v>24</v>
      </c>
      <c r="E135">
        <f t="shared" si="14"/>
        <v>0</v>
      </c>
      <c r="F135">
        <f t="shared" si="15"/>
        <v>0</v>
      </c>
      <c r="G135">
        <f t="shared" si="16"/>
        <v>0</v>
      </c>
      <c r="H135">
        <f t="shared" si="17"/>
        <v>1</v>
      </c>
      <c r="I135">
        <f t="shared" si="18"/>
        <v>0</v>
      </c>
      <c r="J135">
        <f t="shared" si="19"/>
        <v>0</v>
      </c>
      <c r="K135">
        <f t="shared" si="20"/>
        <v>0</v>
      </c>
      <c r="L135">
        <v>2</v>
      </c>
      <c r="M135">
        <v>12.26</v>
      </c>
      <c r="N135">
        <v>2</v>
      </c>
    </row>
    <row r="136" spans="1:14" x14ac:dyDescent="0.35">
      <c r="A136" t="s">
        <v>7</v>
      </c>
      <c r="B136" t="s">
        <v>8</v>
      </c>
      <c r="C136" t="s">
        <v>23</v>
      </c>
      <c r="D136" t="s">
        <v>24</v>
      </c>
      <c r="E136">
        <f t="shared" si="14"/>
        <v>0</v>
      </c>
      <c r="F136">
        <f t="shared" si="15"/>
        <v>0</v>
      </c>
      <c r="G136">
        <f t="shared" si="16"/>
        <v>0</v>
      </c>
      <c r="H136">
        <f t="shared" si="17"/>
        <v>1</v>
      </c>
      <c r="I136">
        <f t="shared" si="18"/>
        <v>0</v>
      </c>
      <c r="J136">
        <f t="shared" si="19"/>
        <v>0</v>
      </c>
      <c r="K136">
        <f t="shared" si="20"/>
        <v>0</v>
      </c>
      <c r="L136">
        <v>2</v>
      </c>
      <c r="M136">
        <v>18.260000000000002</v>
      </c>
      <c r="N136">
        <v>3.25</v>
      </c>
    </row>
    <row r="137" spans="1:14" x14ac:dyDescent="0.35">
      <c r="A137" t="s">
        <v>7</v>
      </c>
      <c r="B137" t="s">
        <v>8</v>
      </c>
      <c r="C137" t="s">
        <v>23</v>
      </c>
      <c r="D137" t="s">
        <v>24</v>
      </c>
      <c r="E137">
        <f t="shared" si="14"/>
        <v>0</v>
      </c>
      <c r="F137">
        <f t="shared" si="15"/>
        <v>0</v>
      </c>
      <c r="G137">
        <f t="shared" si="16"/>
        <v>0</v>
      </c>
      <c r="H137">
        <f t="shared" si="17"/>
        <v>1</v>
      </c>
      <c r="I137">
        <f t="shared" si="18"/>
        <v>0</v>
      </c>
      <c r="J137">
        <f t="shared" si="19"/>
        <v>0</v>
      </c>
      <c r="K137">
        <f t="shared" si="20"/>
        <v>0</v>
      </c>
      <c r="L137">
        <v>2</v>
      </c>
      <c r="M137">
        <v>8.51</v>
      </c>
      <c r="N137">
        <v>1.25</v>
      </c>
    </row>
    <row r="138" spans="1:14" x14ac:dyDescent="0.35">
      <c r="A138" t="s">
        <v>7</v>
      </c>
      <c r="B138" t="s">
        <v>8</v>
      </c>
      <c r="C138" t="s">
        <v>23</v>
      </c>
      <c r="D138" t="s">
        <v>24</v>
      </c>
      <c r="E138">
        <f t="shared" si="14"/>
        <v>0</v>
      </c>
      <c r="F138">
        <f t="shared" si="15"/>
        <v>0</v>
      </c>
      <c r="G138">
        <f t="shared" si="16"/>
        <v>0</v>
      </c>
      <c r="H138">
        <f t="shared" si="17"/>
        <v>1</v>
      </c>
      <c r="I138">
        <f t="shared" si="18"/>
        <v>0</v>
      </c>
      <c r="J138">
        <f t="shared" si="19"/>
        <v>0</v>
      </c>
      <c r="K138">
        <f t="shared" si="20"/>
        <v>0</v>
      </c>
      <c r="L138">
        <v>2</v>
      </c>
      <c r="M138">
        <v>10.33</v>
      </c>
      <c r="N138">
        <v>2</v>
      </c>
    </row>
    <row r="139" spans="1:14" x14ac:dyDescent="0.35">
      <c r="A139" t="s">
        <v>7</v>
      </c>
      <c r="B139" t="s">
        <v>8</v>
      </c>
      <c r="C139" t="s">
        <v>23</v>
      </c>
      <c r="D139" t="s">
        <v>24</v>
      </c>
      <c r="E139">
        <f t="shared" si="14"/>
        <v>0</v>
      </c>
      <c r="F139">
        <f t="shared" si="15"/>
        <v>0</v>
      </c>
      <c r="G139">
        <f t="shared" si="16"/>
        <v>0</v>
      </c>
      <c r="H139">
        <f t="shared" si="17"/>
        <v>1</v>
      </c>
      <c r="I139">
        <f t="shared" si="18"/>
        <v>0</v>
      </c>
      <c r="J139">
        <f t="shared" si="19"/>
        <v>0</v>
      </c>
      <c r="K139">
        <f t="shared" si="20"/>
        <v>0</v>
      </c>
      <c r="L139">
        <v>2</v>
      </c>
      <c r="M139">
        <v>14.15</v>
      </c>
      <c r="N139">
        <v>2</v>
      </c>
    </row>
    <row r="140" spans="1:14" x14ac:dyDescent="0.35">
      <c r="A140" t="s">
        <v>11</v>
      </c>
      <c r="B140" t="s">
        <v>22</v>
      </c>
      <c r="C140" t="s">
        <v>23</v>
      </c>
      <c r="D140" t="s">
        <v>24</v>
      </c>
      <c r="E140">
        <f t="shared" si="14"/>
        <v>1</v>
      </c>
      <c r="F140">
        <f t="shared" si="15"/>
        <v>1</v>
      </c>
      <c r="G140">
        <f t="shared" si="16"/>
        <v>0</v>
      </c>
      <c r="H140">
        <f t="shared" si="17"/>
        <v>1</v>
      </c>
      <c r="I140">
        <f t="shared" si="18"/>
        <v>0</v>
      </c>
      <c r="J140">
        <f t="shared" si="19"/>
        <v>0</v>
      </c>
      <c r="K140">
        <f t="shared" si="20"/>
        <v>0</v>
      </c>
      <c r="L140">
        <v>2</v>
      </c>
      <c r="M140">
        <v>16</v>
      </c>
      <c r="N140">
        <v>2</v>
      </c>
    </row>
    <row r="141" spans="1:14" x14ac:dyDescent="0.35">
      <c r="A141" t="s">
        <v>7</v>
      </c>
      <c r="B141" t="s">
        <v>8</v>
      </c>
      <c r="C141" t="s">
        <v>23</v>
      </c>
      <c r="D141" t="s">
        <v>24</v>
      </c>
      <c r="E141">
        <f t="shared" si="14"/>
        <v>0</v>
      </c>
      <c r="F141">
        <f t="shared" si="15"/>
        <v>0</v>
      </c>
      <c r="G141">
        <f t="shared" si="16"/>
        <v>0</v>
      </c>
      <c r="H141">
        <f t="shared" si="17"/>
        <v>1</v>
      </c>
      <c r="I141">
        <f t="shared" si="18"/>
        <v>0</v>
      </c>
      <c r="J141">
        <f t="shared" si="19"/>
        <v>0</v>
      </c>
      <c r="K141">
        <f t="shared" si="20"/>
        <v>0</v>
      </c>
      <c r="L141">
        <v>2</v>
      </c>
      <c r="M141">
        <v>13.16</v>
      </c>
      <c r="N141">
        <v>2.75</v>
      </c>
    </row>
    <row r="142" spans="1:14" x14ac:dyDescent="0.35">
      <c r="A142" t="s">
        <v>7</v>
      </c>
      <c r="B142" t="s">
        <v>8</v>
      </c>
      <c r="C142" t="s">
        <v>23</v>
      </c>
      <c r="D142" t="s">
        <v>24</v>
      </c>
      <c r="E142">
        <f t="shared" si="14"/>
        <v>0</v>
      </c>
      <c r="F142">
        <f t="shared" si="15"/>
        <v>0</v>
      </c>
      <c r="G142">
        <f t="shared" si="16"/>
        <v>0</v>
      </c>
      <c r="H142">
        <f t="shared" si="17"/>
        <v>1</v>
      </c>
      <c r="I142">
        <f t="shared" si="18"/>
        <v>0</v>
      </c>
      <c r="J142">
        <f t="shared" si="19"/>
        <v>0</v>
      </c>
      <c r="K142">
        <f t="shared" si="20"/>
        <v>0</v>
      </c>
      <c r="L142">
        <v>2</v>
      </c>
      <c r="M142">
        <v>17.47</v>
      </c>
      <c r="N142">
        <v>3.5</v>
      </c>
    </row>
    <row r="143" spans="1:14" x14ac:dyDescent="0.35">
      <c r="A143" t="s">
        <v>11</v>
      </c>
      <c r="B143" t="s">
        <v>8</v>
      </c>
      <c r="C143" t="s">
        <v>23</v>
      </c>
      <c r="D143" t="s">
        <v>24</v>
      </c>
      <c r="E143">
        <f t="shared" si="14"/>
        <v>1</v>
      </c>
      <c r="F143">
        <f t="shared" si="15"/>
        <v>0</v>
      </c>
      <c r="G143">
        <f t="shared" si="16"/>
        <v>0</v>
      </c>
      <c r="H143">
        <f t="shared" si="17"/>
        <v>1</v>
      </c>
      <c r="I143">
        <f t="shared" si="18"/>
        <v>0</v>
      </c>
      <c r="J143">
        <f t="shared" si="19"/>
        <v>0</v>
      </c>
      <c r="K143">
        <f t="shared" si="20"/>
        <v>0</v>
      </c>
      <c r="L143">
        <v>6</v>
      </c>
      <c r="M143">
        <v>34.299999999999997</v>
      </c>
      <c r="N143">
        <v>6.7</v>
      </c>
    </row>
    <row r="144" spans="1:14" x14ac:dyDescent="0.35">
      <c r="A144" t="s">
        <v>11</v>
      </c>
      <c r="B144" t="s">
        <v>8</v>
      </c>
      <c r="C144" t="s">
        <v>23</v>
      </c>
      <c r="D144" t="s">
        <v>24</v>
      </c>
      <c r="E144">
        <f t="shared" si="14"/>
        <v>1</v>
      </c>
      <c r="F144">
        <f t="shared" si="15"/>
        <v>0</v>
      </c>
      <c r="G144">
        <f t="shared" si="16"/>
        <v>0</v>
      </c>
      <c r="H144">
        <f t="shared" si="17"/>
        <v>1</v>
      </c>
      <c r="I144">
        <f t="shared" si="18"/>
        <v>0</v>
      </c>
      <c r="J144">
        <f t="shared" si="19"/>
        <v>0</v>
      </c>
      <c r="K144">
        <f t="shared" si="20"/>
        <v>0</v>
      </c>
      <c r="L144">
        <v>5</v>
      </c>
      <c r="M144">
        <v>41.19</v>
      </c>
      <c r="N144">
        <v>5</v>
      </c>
    </row>
    <row r="145" spans="1:14" x14ac:dyDescent="0.35">
      <c r="A145" t="s">
        <v>7</v>
      </c>
      <c r="B145" t="s">
        <v>8</v>
      </c>
      <c r="C145" t="s">
        <v>23</v>
      </c>
      <c r="D145" t="s">
        <v>24</v>
      </c>
      <c r="E145">
        <f t="shared" si="14"/>
        <v>0</v>
      </c>
      <c r="F145">
        <f t="shared" si="15"/>
        <v>0</v>
      </c>
      <c r="G145">
        <f t="shared" si="16"/>
        <v>0</v>
      </c>
      <c r="H145">
        <f t="shared" si="17"/>
        <v>1</v>
      </c>
      <c r="I145">
        <f t="shared" si="18"/>
        <v>0</v>
      </c>
      <c r="J145">
        <f t="shared" si="19"/>
        <v>0</v>
      </c>
      <c r="K145">
        <f t="shared" si="20"/>
        <v>0</v>
      </c>
      <c r="L145">
        <v>6</v>
      </c>
      <c r="M145">
        <v>27.05</v>
      </c>
      <c r="N145">
        <v>5</v>
      </c>
    </row>
    <row r="146" spans="1:14" x14ac:dyDescent="0.35">
      <c r="A146" t="s">
        <v>7</v>
      </c>
      <c r="B146" t="s">
        <v>8</v>
      </c>
      <c r="C146" t="s">
        <v>23</v>
      </c>
      <c r="D146" t="s">
        <v>24</v>
      </c>
      <c r="E146">
        <f t="shared" si="14"/>
        <v>0</v>
      </c>
      <c r="F146">
        <f t="shared" si="15"/>
        <v>0</v>
      </c>
      <c r="G146">
        <f t="shared" si="16"/>
        <v>0</v>
      </c>
      <c r="H146">
        <f t="shared" si="17"/>
        <v>1</v>
      </c>
      <c r="I146">
        <f t="shared" si="18"/>
        <v>0</v>
      </c>
      <c r="J146">
        <f t="shared" si="19"/>
        <v>0</v>
      </c>
      <c r="K146">
        <f t="shared" si="20"/>
        <v>0</v>
      </c>
      <c r="L146">
        <v>2</v>
      </c>
      <c r="M146">
        <v>16.43</v>
      </c>
      <c r="N146">
        <v>2.2999999999999998</v>
      </c>
    </row>
    <row r="147" spans="1:14" x14ac:dyDescent="0.35">
      <c r="A147" t="s">
        <v>7</v>
      </c>
      <c r="B147" t="s">
        <v>8</v>
      </c>
      <c r="C147" t="s">
        <v>23</v>
      </c>
      <c r="D147" t="s">
        <v>24</v>
      </c>
      <c r="E147">
        <f t="shared" si="14"/>
        <v>0</v>
      </c>
      <c r="F147">
        <f t="shared" si="15"/>
        <v>0</v>
      </c>
      <c r="G147">
        <f t="shared" si="16"/>
        <v>0</v>
      </c>
      <c r="H147">
        <f t="shared" si="17"/>
        <v>1</v>
      </c>
      <c r="I147">
        <f t="shared" si="18"/>
        <v>0</v>
      </c>
      <c r="J147">
        <f t="shared" si="19"/>
        <v>0</v>
      </c>
      <c r="K147">
        <f t="shared" si="20"/>
        <v>0</v>
      </c>
      <c r="L147">
        <v>2</v>
      </c>
      <c r="M147">
        <v>8.35</v>
      </c>
      <c r="N147">
        <v>1.5</v>
      </c>
    </row>
    <row r="148" spans="1:14" x14ac:dyDescent="0.35">
      <c r="A148" t="s">
        <v>7</v>
      </c>
      <c r="B148" t="s">
        <v>8</v>
      </c>
      <c r="C148" t="s">
        <v>23</v>
      </c>
      <c r="D148" t="s">
        <v>24</v>
      </c>
      <c r="E148">
        <f t="shared" si="14"/>
        <v>0</v>
      </c>
      <c r="F148">
        <f t="shared" si="15"/>
        <v>0</v>
      </c>
      <c r="G148">
        <f t="shared" si="16"/>
        <v>0</v>
      </c>
      <c r="H148">
        <f t="shared" si="17"/>
        <v>1</v>
      </c>
      <c r="I148">
        <f t="shared" si="18"/>
        <v>0</v>
      </c>
      <c r="J148">
        <f t="shared" si="19"/>
        <v>0</v>
      </c>
      <c r="K148">
        <f t="shared" si="20"/>
        <v>0</v>
      </c>
      <c r="L148">
        <v>3</v>
      </c>
      <c r="M148">
        <v>18.64</v>
      </c>
      <c r="N148">
        <v>1.36</v>
      </c>
    </row>
    <row r="149" spans="1:14" x14ac:dyDescent="0.35">
      <c r="A149" t="s">
        <v>7</v>
      </c>
      <c r="B149" t="s">
        <v>8</v>
      </c>
      <c r="C149" t="s">
        <v>23</v>
      </c>
      <c r="D149" t="s">
        <v>24</v>
      </c>
      <c r="E149">
        <f t="shared" si="14"/>
        <v>0</v>
      </c>
      <c r="F149">
        <f t="shared" si="15"/>
        <v>0</v>
      </c>
      <c r="G149">
        <f t="shared" si="16"/>
        <v>0</v>
      </c>
      <c r="H149">
        <f t="shared" si="17"/>
        <v>1</v>
      </c>
      <c r="I149">
        <f t="shared" si="18"/>
        <v>0</v>
      </c>
      <c r="J149">
        <f t="shared" si="19"/>
        <v>0</v>
      </c>
      <c r="K149">
        <f t="shared" si="20"/>
        <v>0</v>
      </c>
      <c r="L149">
        <v>2</v>
      </c>
      <c r="M149">
        <v>11.87</v>
      </c>
      <c r="N149">
        <v>1.63</v>
      </c>
    </row>
    <row r="150" spans="1:14" x14ac:dyDescent="0.35">
      <c r="A150" t="s">
        <v>11</v>
      </c>
      <c r="B150" t="s">
        <v>8</v>
      </c>
      <c r="C150" t="s">
        <v>23</v>
      </c>
      <c r="D150" t="s">
        <v>24</v>
      </c>
      <c r="E150">
        <f t="shared" si="14"/>
        <v>1</v>
      </c>
      <c r="F150">
        <f t="shared" si="15"/>
        <v>0</v>
      </c>
      <c r="G150">
        <f t="shared" si="16"/>
        <v>0</v>
      </c>
      <c r="H150">
        <f t="shared" si="17"/>
        <v>1</v>
      </c>
      <c r="I150">
        <f t="shared" si="18"/>
        <v>0</v>
      </c>
      <c r="J150">
        <f t="shared" si="19"/>
        <v>0</v>
      </c>
      <c r="K150">
        <f t="shared" si="20"/>
        <v>0</v>
      </c>
      <c r="L150">
        <v>2</v>
      </c>
      <c r="M150">
        <v>9.7799999999999994</v>
      </c>
      <c r="N150">
        <v>1.73</v>
      </c>
    </row>
    <row r="151" spans="1:14" x14ac:dyDescent="0.35">
      <c r="A151" t="s">
        <v>11</v>
      </c>
      <c r="B151" t="s">
        <v>8</v>
      </c>
      <c r="C151" t="s">
        <v>23</v>
      </c>
      <c r="D151" t="s">
        <v>24</v>
      </c>
      <c r="E151">
        <f t="shared" si="14"/>
        <v>1</v>
      </c>
      <c r="F151">
        <f t="shared" si="15"/>
        <v>0</v>
      </c>
      <c r="G151">
        <f t="shared" si="16"/>
        <v>0</v>
      </c>
      <c r="H151">
        <f t="shared" si="17"/>
        <v>1</v>
      </c>
      <c r="I151">
        <f t="shared" si="18"/>
        <v>0</v>
      </c>
      <c r="J151">
        <f t="shared" si="19"/>
        <v>0</v>
      </c>
      <c r="K151">
        <f t="shared" si="20"/>
        <v>0</v>
      </c>
      <c r="L151">
        <v>2</v>
      </c>
      <c r="M151">
        <v>7.51</v>
      </c>
      <c r="N151">
        <v>2</v>
      </c>
    </row>
    <row r="152" spans="1:14" x14ac:dyDescent="0.35">
      <c r="A152" t="s">
        <v>11</v>
      </c>
      <c r="B152" t="s">
        <v>8</v>
      </c>
      <c r="C152" t="s">
        <v>9</v>
      </c>
      <c r="D152" t="s">
        <v>10</v>
      </c>
      <c r="E152">
        <f t="shared" si="14"/>
        <v>1</v>
      </c>
      <c r="F152">
        <f t="shared" si="15"/>
        <v>0</v>
      </c>
      <c r="G152">
        <f t="shared" si="16"/>
        <v>1</v>
      </c>
      <c r="H152">
        <f t="shared" si="17"/>
        <v>0</v>
      </c>
      <c r="I152">
        <f t="shared" si="18"/>
        <v>0</v>
      </c>
      <c r="J152">
        <f t="shared" si="19"/>
        <v>0</v>
      </c>
      <c r="K152">
        <f t="shared" si="20"/>
        <v>1</v>
      </c>
      <c r="L152">
        <v>2</v>
      </c>
      <c r="M152">
        <v>14.07</v>
      </c>
      <c r="N152">
        <v>2.5</v>
      </c>
    </row>
    <row r="153" spans="1:14" x14ac:dyDescent="0.35">
      <c r="A153" t="s">
        <v>11</v>
      </c>
      <c r="B153" t="s">
        <v>8</v>
      </c>
      <c r="C153" t="s">
        <v>9</v>
      </c>
      <c r="D153" t="s">
        <v>10</v>
      </c>
      <c r="E153">
        <f t="shared" si="14"/>
        <v>1</v>
      </c>
      <c r="F153">
        <f t="shared" si="15"/>
        <v>0</v>
      </c>
      <c r="G153">
        <f t="shared" si="16"/>
        <v>1</v>
      </c>
      <c r="H153">
        <f t="shared" si="17"/>
        <v>0</v>
      </c>
      <c r="I153">
        <f t="shared" si="18"/>
        <v>0</v>
      </c>
      <c r="J153">
        <f t="shared" si="19"/>
        <v>0</v>
      </c>
      <c r="K153">
        <f t="shared" si="20"/>
        <v>1</v>
      </c>
      <c r="L153">
        <v>2</v>
      </c>
      <c r="M153">
        <v>13.13</v>
      </c>
      <c r="N153">
        <v>2</v>
      </c>
    </row>
    <row r="154" spans="1:14" x14ac:dyDescent="0.35">
      <c r="A154" t="s">
        <v>11</v>
      </c>
      <c r="B154" t="s">
        <v>8</v>
      </c>
      <c r="C154" t="s">
        <v>9</v>
      </c>
      <c r="D154" t="s">
        <v>10</v>
      </c>
      <c r="E154">
        <f t="shared" si="14"/>
        <v>1</v>
      </c>
      <c r="F154">
        <f t="shared" si="15"/>
        <v>0</v>
      </c>
      <c r="G154">
        <f t="shared" si="16"/>
        <v>1</v>
      </c>
      <c r="H154">
        <f t="shared" si="17"/>
        <v>0</v>
      </c>
      <c r="I154">
        <f t="shared" si="18"/>
        <v>0</v>
      </c>
      <c r="J154">
        <f t="shared" si="19"/>
        <v>0</v>
      </c>
      <c r="K154">
        <f t="shared" si="20"/>
        <v>1</v>
      </c>
      <c r="L154">
        <v>3</v>
      </c>
      <c r="M154">
        <v>17.260000000000002</v>
      </c>
      <c r="N154">
        <v>2.74</v>
      </c>
    </row>
    <row r="155" spans="1:14" x14ac:dyDescent="0.35">
      <c r="A155" t="s">
        <v>11</v>
      </c>
      <c r="B155" t="s">
        <v>8</v>
      </c>
      <c r="C155" t="s">
        <v>9</v>
      </c>
      <c r="D155" t="s">
        <v>10</v>
      </c>
      <c r="E155">
        <f t="shared" si="14"/>
        <v>1</v>
      </c>
      <c r="F155">
        <f t="shared" si="15"/>
        <v>0</v>
      </c>
      <c r="G155">
        <f t="shared" si="16"/>
        <v>1</v>
      </c>
      <c r="H155">
        <f t="shared" si="17"/>
        <v>0</v>
      </c>
      <c r="I155">
        <f t="shared" si="18"/>
        <v>0</v>
      </c>
      <c r="J155">
        <f t="shared" si="19"/>
        <v>0</v>
      </c>
      <c r="K155">
        <f t="shared" si="20"/>
        <v>1</v>
      </c>
      <c r="L155">
        <v>4</v>
      </c>
      <c r="M155">
        <v>24.55</v>
      </c>
      <c r="N155">
        <v>2</v>
      </c>
    </row>
    <row r="156" spans="1:14" x14ac:dyDescent="0.35">
      <c r="A156" t="s">
        <v>11</v>
      </c>
      <c r="B156" t="s">
        <v>8</v>
      </c>
      <c r="C156" t="s">
        <v>9</v>
      </c>
      <c r="D156" t="s">
        <v>10</v>
      </c>
      <c r="E156">
        <f t="shared" si="14"/>
        <v>1</v>
      </c>
      <c r="F156">
        <f t="shared" si="15"/>
        <v>0</v>
      </c>
      <c r="G156">
        <f t="shared" si="16"/>
        <v>1</v>
      </c>
      <c r="H156">
        <f t="shared" si="17"/>
        <v>0</v>
      </c>
      <c r="I156">
        <f t="shared" si="18"/>
        <v>0</v>
      </c>
      <c r="J156">
        <f t="shared" si="19"/>
        <v>0</v>
      </c>
      <c r="K156">
        <f t="shared" si="20"/>
        <v>1</v>
      </c>
      <c r="L156">
        <v>4</v>
      </c>
      <c r="M156">
        <v>19.77</v>
      </c>
      <c r="N156">
        <v>2</v>
      </c>
    </row>
    <row r="157" spans="1:14" x14ac:dyDescent="0.35">
      <c r="A157" t="s">
        <v>7</v>
      </c>
      <c r="B157" t="s">
        <v>8</v>
      </c>
      <c r="C157" t="s">
        <v>9</v>
      </c>
      <c r="D157" t="s">
        <v>10</v>
      </c>
      <c r="E157">
        <f t="shared" si="14"/>
        <v>0</v>
      </c>
      <c r="F157">
        <f t="shared" si="15"/>
        <v>0</v>
      </c>
      <c r="G157">
        <f t="shared" si="16"/>
        <v>1</v>
      </c>
      <c r="H157">
        <f t="shared" si="17"/>
        <v>0</v>
      </c>
      <c r="I157">
        <f t="shared" si="18"/>
        <v>0</v>
      </c>
      <c r="J157">
        <f t="shared" si="19"/>
        <v>0</v>
      </c>
      <c r="K157">
        <f t="shared" si="20"/>
        <v>1</v>
      </c>
      <c r="L157">
        <v>5</v>
      </c>
      <c r="M157">
        <v>29.85</v>
      </c>
      <c r="N157">
        <v>5.14</v>
      </c>
    </row>
    <row r="158" spans="1:14" x14ac:dyDescent="0.35">
      <c r="A158" t="s">
        <v>11</v>
      </c>
      <c r="B158" t="s">
        <v>8</v>
      </c>
      <c r="C158" t="s">
        <v>9</v>
      </c>
      <c r="D158" t="s">
        <v>10</v>
      </c>
      <c r="E158">
        <f t="shared" si="14"/>
        <v>1</v>
      </c>
      <c r="F158">
        <f t="shared" si="15"/>
        <v>0</v>
      </c>
      <c r="G158">
        <f t="shared" si="16"/>
        <v>1</v>
      </c>
      <c r="H158">
        <f t="shared" si="17"/>
        <v>0</v>
      </c>
      <c r="I158">
        <f t="shared" si="18"/>
        <v>0</v>
      </c>
      <c r="J158">
        <f t="shared" si="19"/>
        <v>0</v>
      </c>
      <c r="K158">
        <f t="shared" si="20"/>
        <v>1</v>
      </c>
      <c r="L158">
        <v>6</v>
      </c>
      <c r="M158">
        <v>48.17</v>
      </c>
      <c r="N158">
        <v>5</v>
      </c>
    </row>
    <row r="159" spans="1:14" x14ac:dyDescent="0.35">
      <c r="A159" t="s">
        <v>7</v>
      </c>
      <c r="B159" t="s">
        <v>8</v>
      </c>
      <c r="C159" t="s">
        <v>9</v>
      </c>
      <c r="D159" t="s">
        <v>10</v>
      </c>
      <c r="E159">
        <f t="shared" si="14"/>
        <v>0</v>
      </c>
      <c r="F159">
        <f t="shared" si="15"/>
        <v>0</v>
      </c>
      <c r="G159">
        <f t="shared" si="16"/>
        <v>1</v>
      </c>
      <c r="H159">
        <f t="shared" si="17"/>
        <v>0</v>
      </c>
      <c r="I159">
        <f t="shared" si="18"/>
        <v>0</v>
      </c>
      <c r="J159">
        <f t="shared" si="19"/>
        <v>0</v>
      </c>
      <c r="K159">
        <f t="shared" si="20"/>
        <v>1</v>
      </c>
      <c r="L159">
        <v>4</v>
      </c>
      <c r="M159">
        <v>25</v>
      </c>
      <c r="N159">
        <v>3.75</v>
      </c>
    </row>
    <row r="160" spans="1:14" x14ac:dyDescent="0.35">
      <c r="A160" t="s">
        <v>7</v>
      </c>
      <c r="B160" t="s">
        <v>8</v>
      </c>
      <c r="C160" t="s">
        <v>9</v>
      </c>
      <c r="D160" t="s">
        <v>10</v>
      </c>
      <c r="E160">
        <f t="shared" si="14"/>
        <v>0</v>
      </c>
      <c r="F160">
        <f t="shared" si="15"/>
        <v>0</v>
      </c>
      <c r="G160">
        <f t="shared" si="16"/>
        <v>1</v>
      </c>
      <c r="H160">
        <f t="shared" si="17"/>
        <v>0</v>
      </c>
      <c r="I160">
        <f t="shared" si="18"/>
        <v>0</v>
      </c>
      <c r="J160">
        <f t="shared" si="19"/>
        <v>0</v>
      </c>
      <c r="K160">
        <f t="shared" si="20"/>
        <v>1</v>
      </c>
      <c r="L160">
        <v>2</v>
      </c>
      <c r="M160">
        <v>13.39</v>
      </c>
      <c r="N160">
        <v>2.61</v>
      </c>
    </row>
    <row r="161" spans="1:14" x14ac:dyDescent="0.35">
      <c r="A161" t="s">
        <v>11</v>
      </c>
      <c r="B161" t="s">
        <v>8</v>
      </c>
      <c r="C161" t="s">
        <v>9</v>
      </c>
      <c r="D161" t="s">
        <v>10</v>
      </c>
      <c r="E161">
        <f t="shared" si="14"/>
        <v>1</v>
      </c>
      <c r="F161">
        <f t="shared" si="15"/>
        <v>0</v>
      </c>
      <c r="G161">
        <f t="shared" si="16"/>
        <v>1</v>
      </c>
      <c r="H161">
        <f t="shared" si="17"/>
        <v>0</v>
      </c>
      <c r="I161">
        <f t="shared" si="18"/>
        <v>0</v>
      </c>
      <c r="J161">
        <f t="shared" si="19"/>
        <v>0</v>
      </c>
      <c r="K161">
        <f t="shared" si="20"/>
        <v>1</v>
      </c>
      <c r="L161">
        <v>4</v>
      </c>
      <c r="M161">
        <v>16.489999999999998</v>
      </c>
      <c r="N161">
        <v>2</v>
      </c>
    </row>
    <row r="162" spans="1:14" x14ac:dyDescent="0.35">
      <c r="A162" t="s">
        <v>11</v>
      </c>
      <c r="B162" t="s">
        <v>8</v>
      </c>
      <c r="C162" t="s">
        <v>9</v>
      </c>
      <c r="D162" t="s">
        <v>10</v>
      </c>
      <c r="E162">
        <f t="shared" si="14"/>
        <v>1</v>
      </c>
      <c r="F162">
        <f t="shared" si="15"/>
        <v>0</v>
      </c>
      <c r="G162">
        <f t="shared" si="16"/>
        <v>1</v>
      </c>
      <c r="H162">
        <f t="shared" si="17"/>
        <v>0</v>
      </c>
      <c r="I162">
        <f t="shared" si="18"/>
        <v>0</v>
      </c>
      <c r="J162">
        <f t="shared" si="19"/>
        <v>0</v>
      </c>
      <c r="K162">
        <f t="shared" si="20"/>
        <v>1</v>
      </c>
      <c r="L162">
        <v>4</v>
      </c>
      <c r="M162">
        <v>21.5</v>
      </c>
      <c r="N162">
        <v>3.5</v>
      </c>
    </row>
    <row r="163" spans="1:14" x14ac:dyDescent="0.35">
      <c r="A163" t="s">
        <v>11</v>
      </c>
      <c r="B163" t="s">
        <v>8</v>
      </c>
      <c r="C163" t="s">
        <v>9</v>
      </c>
      <c r="D163" t="s">
        <v>10</v>
      </c>
      <c r="E163">
        <f t="shared" si="14"/>
        <v>1</v>
      </c>
      <c r="F163">
        <f t="shared" si="15"/>
        <v>0</v>
      </c>
      <c r="G163">
        <f t="shared" si="16"/>
        <v>1</v>
      </c>
      <c r="H163">
        <f t="shared" si="17"/>
        <v>0</v>
      </c>
      <c r="I163">
        <f t="shared" si="18"/>
        <v>0</v>
      </c>
      <c r="J163">
        <f t="shared" si="19"/>
        <v>0</v>
      </c>
      <c r="K163">
        <f t="shared" si="20"/>
        <v>1</v>
      </c>
      <c r="L163">
        <v>2</v>
      </c>
      <c r="M163">
        <v>12.66</v>
      </c>
      <c r="N163">
        <v>2.5</v>
      </c>
    </row>
    <row r="164" spans="1:14" x14ac:dyDescent="0.35">
      <c r="A164" t="s">
        <v>7</v>
      </c>
      <c r="B164" t="s">
        <v>8</v>
      </c>
      <c r="C164" t="s">
        <v>9</v>
      </c>
      <c r="D164" t="s">
        <v>10</v>
      </c>
      <c r="E164">
        <f t="shared" si="14"/>
        <v>0</v>
      </c>
      <c r="F164">
        <f t="shared" si="15"/>
        <v>0</v>
      </c>
      <c r="G164">
        <f t="shared" si="16"/>
        <v>1</v>
      </c>
      <c r="H164">
        <f t="shared" si="17"/>
        <v>0</v>
      </c>
      <c r="I164">
        <f t="shared" si="18"/>
        <v>0</v>
      </c>
      <c r="J164">
        <f t="shared" si="19"/>
        <v>0</v>
      </c>
      <c r="K164">
        <f t="shared" si="20"/>
        <v>1</v>
      </c>
      <c r="L164">
        <v>3</v>
      </c>
      <c r="M164">
        <v>16.21</v>
      </c>
      <c r="N164">
        <v>2</v>
      </c>
    </row>
    <row r="165" spans="1:14" x14ac:dyDescent="0.35">
      <c r="A165" t="s">
        <v>11</v>
      </c>
      <c r="B165" t="s">
        <v>8</v>
      </c>
      <c r="C165" t="s">
        <v>9</v>
      </c>
      <c r="D165" t="s">
        <v>10</v>
      </c>
      <c r="E165">
        <f t="shared" si="14"/>
        <v>1</v>
      </c>
      <c r="F165">
        <f t="shared" si="15"/>
        <v>0</v>
      </c>
      <c r="G165">
        <f t="shared" si="16"/>
        <v>1</v>
      </c>
      <c r="H165">
        <f t="shared" si="17"/>
        <v>0</v>
      </c>
      <c r="I165">
        <f t="shared" si="18"/>
        <v>0</v>
      </c>
      <c r="J165">
        <f t="shared" si="19"/>
        <v>0</v>
      </c>
      <c r="K165">
        <f t="shared" si="20"/>
        <v>1</v>
      </c>
      <c r="L165">
        <v>2</v>
      </c>
      <c r="M165">
        <v>13.81</v>
      </c>
      <c r="N165">
        <v>2</v>
      </c>
    </row>
    <row r="166" spans="1:14" x14ac:dyDescent="0.35">
      <c r="A166" t="s">
        <v>7</v>
      </c>
      <c r="B166" t="s">
        <v>22</v>
      </c>
      <c r="C166" t="s">
        <v>9</v>
      </c>
      <c r="D166" t="s">
        <v>10</v>
      </c>
      <c r="E166">
        <f t="shared" si="14"/>
        <v>0</v>
      </c>
      <c r="F166">
        <f t="shared" si="15"/>
        <v>1</v>
      </c>
      <c r="G166">
        <f t="shared" si="16"/>
        <v>1</v>
      </c>
      <c r="H166">
        <f t="shared" si="17"/>
        <v>0</v>
      </c>
      <c r="I166">
        <f t="shared" si="18"/>
        <v>0</v>
      </c>
      <c r="J166">
        <f t="shared" si="19"/>
        <v>0</v>
      </c>
      <c r="K166">
        <f t="shared" si="20"/>
        <v>1</v>
      </c>
      <c r="L166">
        <v>2</v>
      </c>
      <c r="M166">
        <v>17.510000000000002</v>
      </c>
      <c r="N166">
        <v>3</v>
      </c>
    </row>
    <row r="167" spans="1:14" x14ac:dyDescent="0.35">
      <c r="A167" t="s">
        <v>11</v>
      </c>
      <c r="B167" t="s">
        <v>8</v>
      </c>
      <c r="C167" t="s">
        <v>9</v>
      </c>
      <c r="D167" t="s">
        <v>10</v>
      </c>
      <c r="E167">
        <f t="shared" si="14"/>
        <v>1</v>
      </c>
      <c r="F167">
        <f t="shared" si="15"/>
        <v>0</v>
      </c>
      <c r="G167">
        <f t="shared" si="16"/>
        <v>1</v>
      </c>
      <c r="H167">
        <f t="shared" si="17"/>
        <v>0</v>
      </c>
      <c r="I167">
        <f t="shared" si="18"/>
        <v>0</v>
      </c>
      <c r="J167">
        <f t="shared" si="19"/>
        <v>0</v>
      </c>
      <c r="K167">
        <f t="shared" si="20"/>
        <v>1</v>
      </c>
      <c r="L167">
        <v>3</v>
      </c>
      <c r="M167">
        <v>24.52</v>
      </c>
      <c r="N167">
        <v>3.48</v>
      </c>
    </row>
    <row r="168" spans="1:14" x14ac:dyDescent="0.35">
      <c r="A168" t="s">
        <v>11</v>
      </c>
      <c r="B168" t="s">
        <v>8</v>
      </c>
      <c r="C168" t="s">
        <v>9</v>
      </c>
      <c r="D168" t="s">
        <v>10</v>
      </c>
      <c r="E168">
        <f t="shared" si="14"/>
        <v>1</v>
      </c>
      <c r="F168">
        <f t="shared" si="15"/>
        <v>0</v>
      </c>
      <c r="G168">
        <f t="shared" si="16"/>
        <v>1</v>
      </c>
      <c r="H168">
        <f t="shared" si="17"/>
        <v>0</v>
      </c>
      <c r="I168">
        <f t="shared" si="18"/>
        <v>0</v>
      </c>
      <c r="J168">
        <f t="shared" si="19"/>
        <v>0</v>
      </c>
      <c r="K168">
        <f t="shared" si="20"/>
        <v>1</v>
      </c>
      <c r="L168">
        <v>2</v>
      </c>
      <c r="M168">
        <v>20.76</v>
      </c>
      <c r="N168">
        <v>2.2400000000000002</v>
      </c>
    </row>
    <row r="169" spans="1:14" x14ac:dyDescent="0.35">
      <c r="A169" t="s">
        <v>11</v>
      </c>
      <c r="B169" t="s">
        <v>8</v>
      </c>
      <c r="C169" t="s">
        <v>9</v>
      </c>
      <c r="D169" t="s">
        <v>10</v>
      </c>
      <c r="E169">
        <f t="shared" si="14"/>
        <v>1</v>
      </c>
      <c r="F169">
        <f t="shared" si="15"/>
        <v>0</v>
      </c>
      <c r="G169">
        <f t="shared" si="16"/>
        <v>1</v>
      </c>
      <c r="H169">
        <f t="shared" si="17"/>
        <v>0</v>
      </c>
      <c r="I169">
        <f t="shared" si="18"/>
        <v>0</v>
      </c>
      <c r="J169">
        <f t="shared" si="19"/>
        <v>0</v>
      </c>
      <c r="K169">
        <f t="shared" si="20"/>
        <v>1</v>
      </c>
      <c r="L169">
        <v>4</v>
      </c>
      <c r="M169">
        <v>31.71</v>
      </c>
      <c r="N169">
        <v>4.5</v>
      </c>
    </row>
    <row r="170" spans="1:14" x14ac:dyDescent="0.35">
      <c r="A170" t="s">
        <v>7</v>
      </c>
      <c r="B170" t="s">
        <v>22</v>
      </c>
      <c r="C170" t="s">
        <v>21</v>
      </c>
      <c r="D170" t="s">
        <v>10</v>
      </c>
      <c r="E170">
        <f t="shared" si="14"/>
        <v>0</v>
      </c>
      <c r="F170">
        <f t="shared" si="15"/>
        <v>1</v>
      </c>
      <c r="G170">
        <f t="shared" si="16"/>
        <v>1</v>
      </c>
      <c r="H170">
        <f t="shared" si="17"/>
        <v>0</v>
      </c>
      <c r="I170">
        <f t="shared" si="18"/>
        <v>0</v>
      </c>
      <c r="J170">
        <f t="shared" si="19"/>
        <v>1</v>
      </c>
      <c r="K170">
        <f t="shared" si="20"/>
        <v>0</v>
      </c>
      <c r="L170">
        <v>2</v>
      </c>
      <c r="M170">
        <v>10.59</v>
      </c>
      <c r="N170">
        <v>1.61</v>
      </c>
    </row>
    <row r="171" spans="1:14" x14ac:dyDescent="0.35">
      <c r="A171" t="s">
        <v>7</v>
      </c>
      <c r="B171" t="s">
        <v>22</v>
      </c>
      <c r="C171" t="s">
        <v>21</v>
      </c>
      <c r="D171" t="s">
        <v>10</v>
      </c>
      <c r="E171">
        <f t="shared" si="14"/>
        <v>0</v>
      </c>
      <c r="F171">
        <f t="shared" si="15"/>
        <v>1</v>
      </c>
      <c r="G171">
        <f t="shared" si="16"/>
        <v>1</v>
      </c>
      <c r="H171">
        <f t="shared" si="17"/>
        <v>0</v>
      </c>
      <c r="I171">
        <f t="shared" si="18"/>
        <v>0</v>
      </c>
      <c r="J171">
        <f t="shared" si="19"/>
        <v>1</v>
      </c>
      <c r="K171">
        <f t="shared" si="20"/>
        <v>0</v>
      </c>
      <c r="L171">
        <v>2</v>
      </c>
      <c r="M171">
        <v>10.63</v>
      </c>
      <c r="N171">
        <v>2</v>
      </c>
    </row>
    <row r="172" spans="1:14" x14ac:dyDescent="0.35">
      <c r="A172" t="s">
        <v>11</v>
      </c>
      <c r="B172" t="s">
        <v>22</v>
      </c>
      <c r="C172" t="s">
        <v>21</v>
      </c>
      <c r="D172" t="s">
        <v>10</v>
      </c>
      <c r="E172">
        <f t="shared" si="14"/>
        <v>1</v>
      </c>
      <c r="F172">
        <f t="shared" si="15"/>
        <v>1</v>
      </c>
      <c r="G172">
        <f t="shared" si="16"/>
        <v>1</v>
      </c>
      <c r="H172">
        <f t="shared" si="17"/>
        <v>0</v>
      </c>
      <c r="I172">
        <f t="shared" si="18"/>
        <v>0</v>
      </c>
      <c r="J172">
        <f t="shared" si="19"/>
        <v>1</v>
      </c>
      <c r="K172">
        <f t="shared" si="20"/>
        <v>0</v>
      </c>
      <c r="L172">
        <v>3</v>
      </c>
      <c r="M172">
        <v>50.81</v>
      </c>
      <c r="N172">
        <v>10</v>
      </c>
    </row>
    <row r="173" spans="1:14" x14ac:dyDescent="0.35">
      <c r="A173" t="s">
        <v>11</v>
      </c>
      <c r="B173" t="s">
        <v>22</v>
      </c>
      <c r="C173" t="s">
        <v>21</v>
      </c>
      <c r="D173" t="s">
        <v>10</v>
      </c>
      <c r="E173">
        <f t="shared" si="14"/>
        <v>1</v>
      </c>
      <c r="F173">
        <f t="shared" si="15"/>
        <v>1</v>
      </c>
      <c r="G173">
        <f t="shared" si="16"/>
        <v>1</v>
      </c>
      <c r="H173">
        <f t="shared" si="17"/>
        <v>0</v>
      </c>
      <c r="I173">
        <f t="shared" si="18"/>
        <v>0</v>
      </c>
      <c r="J173">
        <f t="shared" si="19"/>
        <v>1</v>
      </c>
      <c r="K173">
        <f t="shared" si="20"/>
        <v>0</v>
      </c>
      <c r="L173">
        <v>2</v>
      </c>
      <c r="M173">
        <v>15.81</v>
      </c>
      <c r="N173">
        <v>3.16</v>
      </c>
    </row>
    <row r="174" spans="1:14" x14ac:dyDescent="0.35">
      <c r="A174" t="s">
        <v>11</v>
      </c>
      <c r="B174" t="s">
        <v>22</v>
      </c>
      <c r="C174" t="s">
        <v>9</v>
      </c>
      <c r="D174" t="s">
        <v>10</v>
      </c>
      <c r="E174">
        <f t="shared" si="14"/>
        <v>1</v>
      </c>
      <c r="F174">
        <f t="shared" si="15"/>
        <v>1</v>
      </c>
      <c r="G174">
        <f t="shared" si="16"/>
        <v>1</v>
      </c>
      <c r="H174">
        <f t="shared" si="17"/>
        <v>0</v>
      </c>
      <c r="I174">
        <f t="shared" si="18"/>
        <v>0</v>
      </c>
      <c r="J174">
        <f t="shared" si="19"/>
        <v>0</v>
      </c>
      <c r="K174">
        <f t="shared" si="20"/>
        <v>1</v>
      </c>
      <c r="L174">
        <v>2</v>
      </c>
      <c r="M174">
        <v>7.25</v>
      </c>
      <c r="N174">
        <v>5.15</v>
      </c>
    </row>
    <row r="175" spans="1:14" x14ac:dyDescent="0.35">
      <c r="A175" t="s">
        <v>11</v>
      </c>
      <c r="B175" t="s">
        <v>22</v>
      </c>
      <c r="C175" t="s">
        <v>9</v>
      </c>
      <c r="D175" t="s">
        <v>10</v>
      </c>
      <c r="E175">
        <f t="shared" si="14"/>
        <v>1</v>
      </c>
      <c r="F175">
        <f t="shared" si="15"/>
        <v>1</v>
      </c>
      <c r="G175">
        <f t="shared" si="16"/>
        <v>1</v>
      </c>
      <c r="H175">
        <f t="shared" si="17"/>
        <v>0</v>
      </c>
      <c r="I175">
        <f t="shared" si="18"/>
        <v>0</v>
      </c>
      <c r="J175">
        <f t="shared" si="19"/>
        <v>0</v>
      </c>
      <c r="K175">
        <f t="shared" si="20"/>
        <v>1</v>
      </c>
      <c r="L175">
        <v>2</v>
      </c>
      <c r="M175">
        <v>31.85</v>
      </c>
      <c r="N175">
        <v>3.18</v>
      </c>
    </row>
    <row r="176" spans="1:14" x14ac:dyDescent="0.35">
      <c r="A176" t="s">
        <v>11</v>
      </c>
      <c r="B176" t="s">
        <v>22</v>
      </c>
      <c r="C176" t="s">
        <v>9</v>
      </c>
      <c r="D176" t="s">
        <v>10</v>
      </c>
      <c r="E176">
        <f t="shared" si="14"/>
        <v>1</v>
      </c>
      <c r="F176">
        <f t="shared" si="15"/>
        <v>1</v>
      </c>
      <c r="G176">
        <f t="shared" si="16"/>
        <v>1</v>
      </c>
      <c r="H176">
        <f t="shared" si="17"/>
        <v>0</v>
      </c>
      <c r="I176">
        <f t="shared" si="18"/>
        <v>0</v>
      </c>
      <c r="J176">
        <f t="shared" si="19"/>
        <v>0</v>
      </c>
      <c r="K176">
        <f t="shared" si="20"/>
        <v>1</v>
      </c>
      <c r="L176">
        <v>2</v>
      </c>
      <c r="M176">
        <v>16.82</v>
      </c>
      <c r="N176">
        <v>4</v>
      </c>
    </row>
    <row r="177" spans="1:14" x14ac:dyDescent="0.35">
      <c r="A177" t="s">
        <v>11</v>
      </c>
      <c r="B177" t="s">
        <v>22</v>
      </c>
      <c r="C177" t="s">
        <v>9</v>
      </c>
      <c r="D177" t="s">
        <v>10</v>
      </c>
      <c r="E177">
        <f t="shared" si="14"/>
        <v>1</v>
      </c>
      <c r="F177">
        <f t="shared" si="15"/>
        <v>1</v>
      </c>
      <c r="G177">
        <f t="shared" si="16"/>
        <v>1</v>
      </c>
      <c r="H177">
        <f t="shared" si="17"/>
        <v>0</v>
      </c>
      <c r="I177">
        <f t="shared" si="18"/>
        <v>0</v>
      </c>
      <c r="J177">
        <f t="shared" si="19"/>
        <v>0</v>
      </c>
      <c r="K177">
        <f t="shared" si="20"/>
        <v>1</v>
      </c>
      <c r="L177">
        <v>2</v>
      </c>
      <c r="M177">
        <v>32.9</v>
      </c>
      <c r="N177">
        <v>3.11</v>
      </c>
    </row>
    <row r="178" spans="1:14" x14ac:dyDescent="0.35">
      <c r="A178" t="s">
        <v>11</v>
      </c>
      <c r="B178" t="s">
        <v>22</v>
      </c>
      <c r="C178" t="s">
        <v>9</v>
      </c>
      <c r="D178" t="s">
        <v>10</v>
      </c>
      <c r="E178">
        <f t="shared" si="14"/>
        <v>1</v>
      </c>
      <c r="F178">
        <f t="shared" si="15"/>
        <v>1</v>
      </c>
      <c r="G178">
        <f t="shared" si="16"/>
        <v>1</v>
      </c>
      <c r="H178">
        <f t="shared" si="17"/>
        <v>0</v>
      </c>
      <c r="I178">
        <f t="shared" si="18"/>
        <v>0</v>
      </c>
      <c r="J178">
        <f t="shared" si="19"/>
        <v>0</v>
      </c>
      <c r="K178">
        <f t="shared" si="20"/>
        <v>1</v>
      </c>
      <c r="L178">
        <v>2</v>
      </c>
      <c r="M178">
        <v>17.89</v>
      </c>
      <c r="N178">
        <v>2</v>
      </c>
    </row>
    <row r="179" spans="1:14" x14ac:dyDescent="0.35">
      <c r="A179" t="s">
        <v>11</v>
      </c>
      <c r="B179" t="s">
        <v>22</v>
      </c>
      <c r="C179" t="s">
        <v>9</v>
      </c>
      <c r="D179" t="s">
        <v>10</v>
      </c>
      <c r="E179">
        <f t="shared" si="14"/>
        <v>1</v>
      </c>
      <c r="F179">
        <f t="shared" si="15"/>
        <v>1</v>
      </c>
      <c r="G179">
        <f t="shared" si="16"/>
        <v>1</v>
      </c>
      <c r="H179">
        <f t="shared" si="17"/>
        <v>0</v>
      </c>
      <c r="I179">
        <f t="shared" si="18"/>
        <v>0</v>
      </c>
      <c r="J179">
        <f t="shared" si="19"/>
        <v>0</v>
      </c>
      <c r="K179">
        <f t="shared" si="20"/>
        <v>1</v>
      </c>
      <c r="L179">
        <v>2</v>
      </c>
      <c r="M179">
        <v>14.48</v>
      </c>
      <c r="N179">
        <v>2</v>
      </c>
    </row>
    <row r="180" spans="1:14" x14ac:dyDescent="0.35">
      <c r="A180" t="s">
        <v>7</v>
      </c>
      <c r="B180" t="s">
        <v>22</v>
      </c>
      <c r="C180" t="s">
        <v>9</v>
      </c>
      <c r="D180" t="s">
        <v>10</v>
      </c>
      <c r="E180">
        <f t="shared" si="14"/>
        <v>0</v>
      </c>
      <c r="F180">
        <f t="shared" si="15"/>
        <v>1</v>
      </c>
      <c r="G180">
        <f t="shared" si="16"/>
        <v>1</v>
      </c>
      <c r="H180">
        <f t="shared" si="17"/>
        <v>0</v>
      </c>
      <c r="I180">
        <f t="shared" si="18"/>
        <v>0</v>
      </c>
      <c r="J180">
        <f t="shared" si="19"/>
        <v>0</v>
      </c>
      <c r="K180">
        <f t="shared" si="20"/>
        <v>1</v>
      </c>
      <c r="L180">
        <v>2</v>
      </c>
      <c r="M180">
        <v>9.6</v>
      </c>
      <c r="N180">
        <v>4</v>
      </c>
    </row>
    <row r="181" spans="1:14" x14ac:dyDescent="0.35">
      <c r="A181" t="s">
        <v>11</v>
      </c>
      <c r="B181" t="s">
        <v>22</v>
      </c>
      <c r="C181" t="s">
        <v>9</v>
      </c>
      <c r="D181" t="s">
        <v>10</v>
      </c>
      <c r="E181">
        <f t="shared" si="14"/>
        <v>1</v>
      </c>
      <c r="F181">
        <f t="shared" si="15"/>
        <v>1</v>
      </c>
      <c r="G181">
        <f t="shared" si="16"/>
        <v>1</v>
      </c>
      <c r="H181">
        <f t="shared" si="17"/>
        <v>0</v>
      </c>
      <c r="I181">
        <f t="shared" si="18"/>
        <v>0</v>
      </c>
      <c r="J181">
        <f t="shared" si="19"/>
        <v>0</v>
      </c>
      <c r="K181">
        <f t="shared" si="20"/>
        <v>1</v>
      </c>
      <c r="L181">
        <v>2</v>
      </c>
      <c r="M181">
        <v>34.630000000000003</v>
      </c>
      <c r="N181">
        <v>3.55</v>
      </c>
    </row>
    <row r="182" spans="1:14" x14ac:dyDescent="0.35">
      <c r="A182" t="s">
        <v>11</v>
      </c>
      <c r="B182" t="s">
        <v>22</v>
      </c>
      <c r="C182" t="s">
        <v>9</v>
      </c>
      <c r="D182" t="s">
        <v>10</v>
      </c>
      <c r="E182">
        <f t="shared" si="14"/>
        <v>1</v>
      </c>
      <c r="F182">
        <f t="shared" si="15"/>
        <v>1</v>
      </c>
      <c r="G182">
        <f t="shared" si="16"/>
        <v>1</v>
      </c>
      <c r="H182">
        <f t="shared" si="17"/>
        <v>0</v>
      </c>
      <c r="I182">
        <f t="shared" si="18"/>
        <v>0</v>
      </c>
      <c r="J182">
        <f t="shared" si="19"/>
        <v>0</v>
      </c>
      <c r="K182">
        <f t="shared" si="20"/>
        <v>1</v>
      </c>
      <c r="L182">
        <v>4</v>
      </c>
      <c r="M182">
        <v>34.65</v>
      </c>
      <c r="N182">
        <v>3.68</v>
      </c>
    </row>
    <row r="183" spans="1:14" x14ac:dyDescent="0.35">
      <c r="A183" t="s">
        <v>11</v>
      </c>
      <c r="B183" t="s">
        <v>22</v>
      </c>
      <c r="C183" t="s">
        <v>9</v>
      </c>
      <c r="D183" t="s">
        <v>10</v>
      </c>
      <c r="E183">
        <f t="shared" si="14"/>
        <v>1</v>
      </c>
      <c r="F183">
        <f t="shared" si="15"/>
        <v>1</v>
      </c>
      <c r="G183">
        <f t="shared" si="16"/>
        <v>1</v>
      </c>
      <c r="H183">
        <f t="shared" si="17"/>
        <v>0</v>
      </c>
      <c r="I183">
        <f t="shared" si="18"/>
        <v>0</v>
      </c>
      <c r="J183">
        <f t="shared" si="19"/>
        <v>0</v>
      </c>
      <c r="K183">
        <f t="shared" si="20"/>
        <v>1</v>
      </c>
      <c r="L183">
        <v>2</v>
      </c>
      <c r="M183">
        <v>23.33</v>
      </c>
      <c r="N183">
        <v>5.65</v>
      </c>
    </row>
    <row r="184" spans="1:14" x14ac:dyDescent="0.35">
      <c r="A184" t="s">
        <v>11</v>
      </c>
      <c r="B184" t="s">
        <v>22</v>
      </c>
      <c r="C184" t="s">
        <v>9</v>
      </c>
      <c r="D184" t="s">
        <v>10</v>
      </c>
      <c r="E184">
        <f t="shared" si="14"/>
        <v>1</v>
      </c>
      <c r="F184">
        <f t="shared" si="15"/>
        <v>1</v>
      </c>
      <c r="G184">
        <f t="shared" si="16"/>
        <v>1</v>
      </c>
      <c r="H184">
        <f t="shared" si="17"/>
        <v>0</v>
      </c>
      <c r="I184">
        <f t="shared" si="18"/>
        <v>0</v>
      </c>
      <c r="J184">
        <f t="shared" si="19"/>
        <v>0</v>
      </c>
      <c r="K184">
        <f t="shared" si="20"/>
        <v>1</v>
      </c>
      <c r="L184">
        <v>3</v>
      </c>
      <c r="M184">
        <v>45.35</v>
      </c>
      <c r="N184">
        <v>3.5</v>
      </c>
    </row>
    <row r="185" spans="1:14" x14ac:dyDescent="0.35">
      <c r="A185" t="s">
        <v>11</v>
      </c>
      <c r="B185" t="s">
        <v>22</v>
      </c>
      <c r="C185" t="s">
        <v>9</v>
      </c>
      <c r="D185" t="s">
        <v>10</v>
      </c>
      <c r="E185">
        <f t="shared" si="14"/>
        <v>1</v>
      </c>
      <c r="F185">
        <f t="shared" si="15"/>
        <v>1</v>
      </c>
      <c r="G185">
        <f t="shared" si="16"/>
        <v>1</v>
      </c>
      <c r="H185">
        <f t="shared" si="17"/>
        <v>0</v>
      </c>
      <c r="I185">
        <f t="shared" si="18"/>
        <v>0</v>
      </c>
      <c r="J185">
        <f t="shared" si="19"/>
        <v>0</v>
      </c>
      <c r="K185">
        <f t="shared" si="20"/>
        <v>1</v>
      </c>
      <c r="L185">
        <v>4</v>
      </c>
      <c r="M185">
        <v>23.17</v>
      </c>
      <c r="N185">
        <v>6.5</v>
      </c>
    </row>
    <row r="186" spans="1:14" x14ac:dyDescent="0.35">
      <c r="A186" t="s">
        <v>11</v>
      </c>
      <c r="B186" t="s">
        <v>22</v>
      </c>
      <c r="C186" t="s">
        <v>9</v>
      </c>
      <c r="D186" t="s">
        <v>10</v>
      </c>
      <c r="E186">
        <f t="shared" si="14"/>
        <v>1</v>
      </c>
      <c r="F186">
        <f t="shared" si="15"/>
        <v>1</v>
      </c>
      <c r="G186">
        <f t="shared" si="16"/>
        <v>1</v>
      </c>
      <c r="H186">
        <f t="shared" si="17"/>
        <v>0</v>
      </c>
      <c r="I186">
        <f t="shared" si="18"/>
        <v>0</v>
      </c>
      <c r="J186">
        <f t="shared" si="19"/>
        <v>0</v>
      </c>
      <c r="K186">
        <f t="shared" si="20"/>
        <v>1</v>
      </c>
      <c r="L186">
        <v>2</v>
      </c>
      <c r="M186">
        <v>40.549999999999997</v>
      </c>
      <c r="N186">
        <v>3</v>
      </c>
    </row>
    <row r="187" spans="1:14" x14ac:dyDescent="0.35">
      <c r="A187" t="s">
        <v>11</v>
      </c>
      <c r="B187" t="s">
        <v>8</v>
      </c>
      <c r="C187" t="s">
        <v>9</v>
      </c>
      <c r="D187" t="s">
        <v>10</v>
      </c>
      <c r="E187">
        <f t="shared" si="14"/>
        <v>1</v>
      </c>
      <c r="F187">
        <f t="shared" si="15"/>
        <v>0</v>
      </c>
      <c r="G187">
        <f t="shared" si="16"/>
        <v>1</v>
      </c>
      <c r="H187">
        <f t="shared" si="17"/>
        <v>0</v>
      </c>
      <c r="I187">
        <f t="shared" si="18"/>
        <v>0</v>
      </c>
      <c r="J187">
        <f t="shared" si="19"/>
        <v>0</v>
      </c>
      <c r="K187">
        <f t="shared" si="20"/>
        <v>1</v>
      </c>
      <c r="L187">
        <v>5</v>
      </c>
      <c r="M187">
        <v>20.69</v>
      </c>
      <c r="N187">
        <v>5</v>
      </c>
    </row>
    <row r="188" spans="1:14" x14ac:dyDescent="0.35">
      <c r="A188" t="s">
        <v>7</v>
      </c>
      <c r="B188" t="s">
        <v>22</v>
      </c>
      <c r="C188" t="s">
        <v>9</v>
      </c>
      <c r="D188" t="s">
        <v>10</v>
      </c>
      <c r="E188">
        <f t="shared" si="14"/>
        <v>0</v>
      </c>
      <c r="F188">
        <f t="shared" si="15"/>
        <v>1</v>
      </c>
      <c r="G188">
        <f t="shared" si="16"/>
        <v>1</v>
      </c>
      <c r="H188">
        <f t="shared" si="17"/>
        <v>0</v>
      </c>
      <c r="I188">
        <f t="shared" si="18"/>
        <v>0</v>
      </c>
      <c r="J188">
        <f t="shared" si="19"/>
        <v>0</v>
      </c>
      <c r="K188">
        <f t="shared" si="20"/>
        <v>1</v>
      </c>
      <c r="L188">
        <v>3</v>
      </c>
      <c r="M188">
        <v>20.9</v>
      </c>
      <c r="N188">
        <v>3.5</v>
      </c>
    </row>
    <row r="189" spans="1:14" x14ac:dyDescent="0.35">
      <c r="A189" t="s">
        <v>11</v>
      </c>
      <c r="B189" t="s">
        <v>22</v>
      </c>
      <c r="C189" t="s">
        <v>9</v>
      </c>
      <c r="D189" t="s">
        <v>10</v>
      </c>
      <c r="E189">
        <f t="shared" si="14"/>
        <v>1</v>
      </c>
      <c r="F189">
        <f t="shared" si="15"/>
        <v>1</v>
      </c>
      <c r="G189">
        <f t="shared" si="16"/>
        <v>1</v>
      </c>
      <c r="H189">
        <f t="shared" si="17"/>
        <v>0</v>
      </c>
      <c r="I189">
        <f t="shared" si="18"/>
        <v>0</v>
      </c>
      <c r="J189">
        <f t="shared" si="19"/>
        <v>0</v>
      </c>
      <c r="K189">
        <f t="shared" si="20"/>
        <v>1</v>
      </c>
      <c r="L189">
        <v>5</v>
      </c>
      <c r="M189">
        <v>30.46</v>
      </c>
      <c r="N189">
        <v>2</v>
      </c>
    </row>
    <row r="190" spans="1:14" x14ac:dyDescent="0.35">
      <c r="A190" t="s">
        <v>7</v>
      </c>
      <c r="B190" t="s">
        <v>22</v>
      </c>
      <c r="C190" t="s">
        <v>9</v>
      </c>
      <c r="D190" t="s">
        <v>10</v>
      </c>
      <c r="E190">
        <f t="shared" si="14"/>
        <v>0</v>
      </c>
      <c r="F190">
        <f t="shared" si="15"/>
        <v>1</v>
      </c>
      <c r="G190">
        <f t="shared" si="16"/>
        <v>1</v>
      </c>
      <c r="H190">
        <f t="shared" si="17"/>
        <v>0</v>
      </c>
      <c r="I190">
        <f t="shared" si="18"/>
        <v>0</v>
      </c>
      <c r="J190">
        <f t="shared" si="19"/>
        <v>0</v>
      </c>
      <c r="K190">
        <f t="shared" si="20"/>
        <v>1</v>
      </c>
      <c r="L190">
        <v>3</v>
      </c>
      <c r="M190">
        <v>18.149999999999999</v>
      </c>
      <c r="N190">
        <v>3.5</v>
      </c>
    </row>
    <row r="191" spans="1:14" x14ac:dyDescent="0.35">
      <c r="A191" t="s">
        <v>11</v>
      </c>
      <c r="B191" t="s">
        <v>22</v>
      </c>
      <c r="C191" t="s">
        <v>9</v>
      </c>
      <c r="D191" t="s">
        <v>10</v>
      </c>
      <c r="E191">
        <f t="shared" si="14"/>
        <v>1</v>
      </c>
      <c r="F191">
        <f t="shared" si="15"/>
        <v>1</v>
      </c>
      <c r="G191">
        <f t="shared" si="16"/>
        <v>1</v>
      </c>
      <c r="H191">
        <f t="shared" si="17"/>
        <v>0</v>
      </c>
      <c r="I191">
        <f t="shared" si="18"/>
        <v>0</v>
      </c>
      <c r="J191">
        <f t="shared" si="19"/>
        <v>0</v>
      </c>
      <c r="K191">
        <f t="shared" si="20"/>
        <v>1</v>
      </c>
      <c r="L191">
        <v>3</v>
      </c>
      <c r="M191">
        <v>23.1</v>
      </c>
      <c r="N191">
        <v>4</v>
      </c>
    </row>
    <row r="192" spans="1:14" x14ac:dyDescent="0.35">
      <c r="A192" t="s">
        <v>11</v>
      </c>
      <c r="B192" t="s">
        <v>22</v>
      </c>
      <c r="C192" t="s">
        <v>9</v>
      </c>
      <c r="D192" t="s">
        <v>10</v>
      </c>
      <c r="E192">
        <f t="shared" si="14"/>
        <v>1</v>
      </c>
      <c r="F192">
        <f t="shared" si="15"/>
        <v>1</v>
      </c>
      <c r="G192">
        <f t="shared" si="16"/>
        <v>1</v>
      </c>
      <c r="H192">
        <f t="shared" si="17"/>
        <v>0</v>
      </c>
      <c r="I192">
        <f t="shared" si="18"/>
        <v>0</v>
      </c>
      <c r="J192">
        <f t="shared" si="19"/>
        <v>0</v>
      </c>
      <c r="K192">
        <f t="shared" si="20"/>
        <v>1</v>
      </c>
      <c r="L192">
        <v>2</v>
      </c>
      <c r="M192">
        <v>15.69</v>
      </c>
      <c r="N192">
        <v>1.5</v>
      </c>
    </row>
    <row r="193" spans="1:14" x14ac:dyDescent="0.35">
      <c r="A193" t="s">
        <v>7</v>
      </c>
      <c r="B193" t="s">
        <v>22</v>
      </c>
      <c r="C193" t="s">
        <v>23</v>
      </c>
      <c r="D193" t="s">
        <v>24</v>
      </c>
      <c r="E193">
        <f t="shared" si="14"/>
        <v>0</v>
      </c>
      <c r="F193">
        <f t="shared" si="15"/>
        <v>1</v>
      </c>
      <c r="G193">
        <f t="shared" si="16"/>
        <v>0</v>
      </c>
      <c r="H193">
        <f t="shared" si="17"/>
        <v>1</v>
      </c>
      <c r="I193">
        <f t="shared" si="18"/>
        <v>0</v>
      </c>
      <c r="J193">
        <f t="shared" si="19"/>
        <v>0</v>
      </c>
      <c r="K193">
        <f t="shared" si="20"/>
        <v>0</v>
      </c>
      <c r="L193">
        <v>2</v>
      </c>
      <c r="M193">
        <v>19.809999999999999</v>
      </c>
      <c r="N193">
        <v>4.1900000000000004</v>
      </c>
    </row>
    <row r="194" spans="1:14" x14ac:dyDescent="0.35">
      <c r="A194" t="s">
        <v>11</v>
      </c>
      <c r="B194" t="s">
        <v>22</v>
      </c>
      <c r="C194" t="s">
        <v>23</v>
      </c>
      <c r="D194" t="s">
        <v>24</v>
      </c>
      <c r="E194">
        <f t="shared" si="14"/>
        <v>1</v>
      </c>
      <c r="F194">
        <f t="shared" si="15"/>
        <v>1</v>
      </c>
      <c r="G194">
        <f t="shared" si="16"/>
        <v>0</v>
      </c>
      <c r="H194">
        <f t="shared" si="17"/>
        <v>1</v>
      </c>
      <c r="I194">
        <f t="shared" si="18"/>
        <v>0</v>
      </c>
      <c r="J194">
        <f t="shared" si="19"/>
        <v>0</v>
      </c>
      <c r="K194">
        <f t="shared" si="20"/>
        <v>0</v>
      </c>
      <c r="L194">
        <v>2</v>
      </c>
      <c r="M194">
        <v>28.44</v>
      </c>
      <c r="N194">
        <v>2.56</v>
      </c>
    </row>
    <row r="195" spans="1:14" x14ac:dyDescent="0.35">
      <c r="A195" t="s">
        <v>11</v>
      </c>
      <c r="B195" t="s">
        <v>22</v>
      </c>
      <c r="C195" t="s">
        <v>23</v>
      </c>
      <c r="D195" t="s">
        <v>24</v>
      </c>
      <c r="E195">
        <f t="shared" ref="E195:E245" si="21">IF(A195="Male",1,0)</f>
        <v>1</v>
      </c>
      <c r="F195">
        <f t="shared" ref="F195:F245" si="22">IF(B195="Yes",1,0)</f>
        <v>1</v>
      </c>
      <c r="G195">
        <f t="shared" ref="G195:G245" si="23">IF(D195="Dinner",1,0)</f>
        <v>0</v>
      </c>
      <c r="H195">
        <f t="shared" ref="H195:H245" si="24">IF(C195="Thur",1,0)</f>
        <v>1</v>
      </c>
      <c r="I195">
        <f t="shared" ref="I195:I245" si="25">IF(C195="Fri",1,0)</f>
        <v>0</v>
      </c>
      <c r="J195">
        <f t="shared" ref="J195:J245" si="26">IF(C195="Sat",1,0)</f>
        <v>0</v>
      </c>
      <c r="K195">
        <f t="shared" ref="K195:K245" si="27">IF(C195="Sun",1,0)</f>
        <v>0</v>
      </c>
      <c r="L195">
        <v>2</v>
      </c>
      <c r="M195">
        <v>15.48</v>
      </c>
      <c r="N195">
        <v>2.02</v>
      </c>
    </row>
    <row r="196" spans="1:14" x14ac:dyDescent="0.35">
      <c r="A196" t="s">
        <v>11</v>
      </c>
      <c r="B196" t="s">
        <v>22</v>
      </c>
      <c r="C196" t="s">
        <v>23</v>
      </c>
      <c r="D196" t="s">
        <v>24</v>
      </c>
      <c r="E196">
        <f t="shared" si="21"/>
        <v>1</v>
      </c>
      <c r="F196">
        <f t="shared" si="22"/>
        <v>1</v>
      </c>
      <c r="G196">
        <f t="shared" si="23"/>
        <v>0</v>
      </c>
      <c r="H196">
        <f t="shared" si="24"/>
        <v>1</v>
      </c>
      <c r="I196">
        <f t="shared" si="25"/>
        <v>0</v>
      </c>
      <c r="J196">
        <f t="shared" si="26"/>
        <v>0</v>
      </c>
      <c r="K196">
        <f t="shared" si="27"/>
        <v>0</v>
      </c>
      <c r="L196">
        <v>2</v>
      </c>
      <c r="M196">
        <v>16.579999999999998</v>
      </c>
      <c r="N196">
        <v>4</v>
      </c>
    </row>
    <row r="197" spans="1:14" x14ac:dyDescent="0.35">
      <c r="A197" t="s">
        <v>11</v>
      </c>
      <c r="B197" t="s">
        <v>8</v>
      </c>
      <c r="C197" t="s">
        <v>23</v>
      </c>
      <c r="D197" t="s">
        <v>24</v>
      </c>
      <c r="E197">
        <f t="shared" si="21"/>
        <v>1</v>
      </c>
      <c r="F197">
        <f t="shared" si="22"/>
        <v>0</v>
      </c>
      <c r="G197">
        <f t="shared" si="23"/>
        <v>0</v>
      </c>
      <c r="H197">
        <f t="shared" si="24"/>
        <v>1</v>
      </c>
      <c r="I197">
        <f t="shared" si="25"/>
        <v>0</v>
      </c>
      <c r="J197">
        <f t="shared" si="26"/>
        <v>0</v>
      </c>
      <c r="K197">
        <f t="shared" si="27"/>
        <v>0</v>
      </c>
      <c r="L197">
        <v>2</v>
      </c>
      <c r="M197">
        <v>7.56</v>
      </c>
      <c r="N197">
        <v>1.44</v>
      </c>
    </row>
    <row r="198" spans="1:14" x14ac:dyDescent="0.35">
      <c r="A198" t="s">
        <v>11</v>
      </c>
      <c r="B198" t="s">
        <v>22</v>
      </c>
      <c r="C198" t="s">
        <v>23</v>
      </c>
      <c r="D198" t="s">
        <v>24</v>
      </c>
      <c r="E198">
        <f t="shared" si="21"/>
        <v>1</v>
      </c>
      <c r="F198">
        <f t="shared" si="22"/>
        <v>1</v>
      </c>
      <c r="G198">
        <f t="shared" si="23"/>
        <v>0</v>
      </c>
      <c r="H198">
        <f t="shared" si="24"/>
        <v>1</v>
      </c>
      <c r="I198">
        <f t="shared" si="25"/>
        <v>0</v>
      </c>
      <c r="J198">
        <f t="shared" si="26"/>
        <v>0</v>
      </c>
      <c r="K198">
        <f t="shared" si="27"/>
        <v>0</v>
      </c>
      <c r="L198">
        <v>2</v>
      </c>
      <c r="M198">
        <v>10.34</v>
      </c>
      <c r="N198">
        <v>2</v>
      </c>
    </row>
    <row r="199" spans="1:14" x14ac:dyDescent="0.35">
      <c r="A199" t="s">
        <v>7</v>
      </c>
      <c r="B199" t="s">
        <v>22</v>
      </c>
      <c r="C199" t="s">
        <v>23</v>
      </c>
      <c r="D199" t="s">
        <v>24</v>
      </c>
      <c r="E199">
        <f t="shared" si="21"/>
        <v>0</v>
      </c>
      <c r="F199">
        <f t="shared" si="22"/>
        <v>1</v>
      </c>
      <c r="G199">
        <f t="shared" si="23"/>
        <v>0</v>
      </c>
      <c r="H199">
        <f t="shared" si="24"/>
        <v>1</v>
      </c>
      <c r="I199">
        <f t="shared" si="25"/>
        <v>0</v>
      </c>
      <c r="J199">
        <f t="shared" si="26"/>
        <v>0</v>
      </c>
      <c r="K199">
        <f t="shared" si="27"/>
        <v>0</v>
      </c>
      <c r="L199">
        <v>4</v>
      </c>
      <c r="M199">
        <v>43.11</v>
      </c>
      <c r="N199">
        <v>5</v>
      </c>
    </row>
    <row r="200" spans="1:14" x14ac:dyDescent="0.35">
      <c r="A200" t="s">
        <v>7</v>
      </c>
      <c r="B200" t="s">
        <v>22</v>
      </c>
      <c r="C200" t="s">
        <v>23</v>
      </c>
      <c r="D200" t="s">
        <v>24</v>
      </c>
      <c r="E200">
        <f t="shared" si="21"/>
        <v>0</v>
      </c>
      <c r="F200">
        <f t="shared" si="22"/>
        <v>1</v>
      </c>
      <c r="G200">
        <f t="shared" si="23"/>
        <v>0</v>
      </c>
      <c r="H200">
        <f t="shared" si="24"/>
        <v>1</v>
      </c>
      <c r="I200">
        <f t="shared" si="25"/>
        <v>0</v>
      </c>
      <c r="J200">
        <f t="shared" si="26"/>
        <v>0</v>
      </c>
      <c r="K200">
        <f t="shared" si="27"/>
        <v>0</v>
      </c>
      <c r="L200">
        <v>2</v>
      </c>
      <c r="M200">
        <v>13</v>
      </c>
      <c r="N200">
        <v>2</v>
      </c>
    </row>
    <row r="201" spans="1:14" x14ac:dyDescent="0.35">
      <c r="A201" t="s">
        <v>11</v>
      </c>
      <c r="B201" t="s">
        <v>22</v>
      </c>
      <c r="C201" t="s">
        <v>23</v>
      </c>
      <c r="D201" t="s">
        <v>24</v>
      </c>
      <c r="E201">
        <f t="shared" si="21"/>
        <v>1</v>
      </c>
      <c r="F201">
        <f t="shared" si="22"/>
        <v>1</v>
      </c>
      <c r="G201">
        <f t="shared" si="23"/>
        <v>0</v>
      </c>
      <c r="H201">
        <f t="shared" si="24"/>
        <v>1</v>
      </c>
      <c r="I201">
        <f t="shared" si="25"/>
        <v>0</v>
      </c>
      <c r="J201">
        <f t="shared" si="26"/>
        <v>0</v>
      </c>
      <c r="K201">
        <f t="shared" si="27"/>
        <v>0</v>
      </c>
      <c r="L201">
        <v>2</v>
      </c>
      <c r="M201">
        <v>13.51</v>
      </c>
      <c r="N201">
        <v>2</v>
      </c>
    </row>
    <row r="202" spans="1:14" x14ac:dyDescent="0.35">
      <c r="A202" t="s">
        <v>11</v>
      </c>
      <c r="B202" t="s">
        <v>22</v>
      </c>
      <c r="C202" t="s">
        <v>23</v>
      </c>
      <c r="D202" t="s">
        <v>24</v>
      </c>
      <c r="E202">
        <f t="shared" si="21"/>
        <v>1</v>
      </c>
      <c r="F202">
        <f t="shared" si="22"/>
        <v>1</v>
      </c>
      <c r="G202">
        <f t="shared" si="23"/>
        <v>0</v>
      </c>
      <c r="H202">
        <f t="shared" si="24"/>
        <v>1</v>
      </c>
      <c r="I202">
        <f t="shared" si="25"/>
        <v>0</v>
      </c>
      <c r="J202">
        <f t="shared" si="26"/>
        <v>0</v>
      </c>
      <c r="K202">
        <f t="shared" si="27"/>
        <v>0</v>
      </c>
      <c r="L202">
        <v>3</v>
      </c>
      <c r="M202">
        <v>18.71</v>
      </c>
      <c r="N202">
        <v>4</v>
      </c>
    </row>
    <row r="203" spans="1:14" x14ac:dyDescent="0.35">
      <c r="A203" t="s">
        <v>7</v>
      </c>
      <c r="B203" t="s">
        <v>22</v>
      </c>
      <c r="C203" t="s">
        <v>23</v>
      </c>
      <c r="D203" t="s">
        <v>24</v>
      </c>
      <c r="E203">
        <f t="shared" si="21"/>
        <v>0</v>
      </c>
      <c r="F203">
        <f t="shared" si="22"/>
        <v>1</v>
      </c>
      <c r="G203">
        <f t="shared" si="23"/>
        <v>0</v>
      </c>
      <c r="H203">
        <f t="shared" si="24"/>
        <v>1</v>
      </c>
      <c r="I203">
        <f t="shared" si="25"/>
        <v>0</v>
      </c>
      <c r="J203">
        <f t="shared" si="26"/>
        <v>0</v>
      </c>
      <c r="K203">
        <f t="shared" si="27"/>
        <v>0</v>
      </c>
      <c r="L203">
        <v>2</v>
      </c>
      <c r="M203">
        <v>12.74</v>
      </c>
      <c r="N203">
        <v>2.0099999999999998</v>
      </c>
    </row>
    <row r="204" spans="1:14" x14ac:dyDescent="0.35">
      <c r="A204" t="s">
        <v>7</v>
      </c>
      <c r="B204" t="s">
        <v>22</v>
      </c>
      <c r="C204" t="s">
        <v>23</v>
      </c>
      <c r="D204" t="s">
        <v>24</v>
      </c>
      <c r="E204">
        <f t="shared" si="21"/>
        <v>0</v>
      </c>
      <c r="F204">
        <f t="shared" si="22"/>
        <v>1</v>
      </c>
      <c r="G204">
        <f t="shared" si="23"/>
        <v>0</v>
      </c>
      <c r="H204">
        <f t="shared" si="24"/>
        <v>1</v>
      </c>
      <c r="I204">
        <f t="shared" si="25"/>
        <v>0</v>
      </c>
      <c r="J204">
        <f t="shared" si="26"/>
        <v>0</v>
      </c>
      <c r="K204">
        <f t="shared" si="27"/>
        <v>0</v>
      </c>
      <c r="L204">
        <v>2</v>
      </c>
      <c r="M204">
        <v>13</v>
      </c>
      <c r="N204">
        <v>2</v>
      </c>
    </row>
    <row r="205" spans="1:14" x14ac:dyDescent="0.35">
      <c r="A205" t="s">
        <v>7</v>
      </c>
      <c r="B205" t="s">
        <v>22</v>
      </c>
      <c r="C205" t="s">
        <v>23</v>
      </c>
      <c r="D205" t="s">
        <v>24</v>
      </c>
      <c r="E205">
        <f t="shared" si="21"/>
        <v>0</v>
      </c>
      <c r="F205">
        <f t="shared" si="22"/>
        <v>1</v>
      </c>
      <c r="G205">
        <f t="shared" si="23"/>
        <v>0</v>
      </c>
      <c r="H205">
        <f t="shared" si="24"/>
        <v>1</v>
      </c>
      <c r="I205">
        <f t="shared" si="25"/>
        <v>0</v>
      </c>
      <c r="J205">
        <f t="shared" si="26"/>
        <v>0</v>
      </c>
      <c r="K205">
        <f t="shared" si="27"/>
        <v>0</v>
      </c>
      <c r="L205">
        <v>2</v>
      </c>
      <c r="M205">
        <v>16.399999999999999</v>
      </c>
      <c r="N205">
        <v>2.5</v>
      </c>
    </row>
    <row r="206" spans="1:14" x14ac:dyDescent="0.35">
      <c r="A206" t="s">
        <v>11</v>
      </c>
      <c r="B206" t="s">
        <v>22</v>
      </c>
      <c r="C206" t="s">
        <v>23</v>
      </c>
      <c r="D206" t="s">
        <v>24</v>
      </c>
      <c r="E206">
        <f t="shared" si="21"/>
        <v>1</v>
      </c>
      <c r="F206">
        <f t="shared" si="22"/>
        <v>1</v>
      </c>
      <c r="G206">
        <f t="shared" si="23"/>
        <v>0</v>
      </c>
      <c r="H206">
        <f t="shared" si="24"/>
        <v>1</v>
      </c>
      <c r="I206">
        <f t="shared" si="25"/>
        <v>0</v>
      </c>
      <c r="J206">
        <f t="shared" si="26"/>
        <v>0</v>
      </c>
      <c r="K206">
        <f t="shared" si="27"/>
        <v>0</v>
      </c>
      <c r="L206">
        <v>4</v>
      </c>
      <c r="M206">
        <v>20.53</v>
      </c>
      <c r="N206">
        <v>4</v>
      </c>
    </row>
    <row r="207" spans="1:14" x14ac:dyDescent="0.35">
      <c r="A207" t="s">
        <v>7</v>
      </c>
      <c r="B207" t="s">
        <v>22</v>
      </c>
      <c r="C207" t="s">
        <v>23</v>
      </c>
      <c r="D207" t="s">
        <v>24</v>
      </c>
      <c r="E207">
        <f t="shared" si="21"/>
        <v>0</v>
      </c>
      <c r="F207">
        <f t="shared" si="22"/>
        <v>1</v>
      </c>
      <c r="G207">
        <f t="shared" si="23"/>
        <v>0</v>
      </c>
      <c r="H207">
        <f t="shared" si="24"/>
        <v>1</v>
      </c>
      <c r="I207">
        <f t="shared" si="25"/>
        <v>0</v>
      </c>
      <c r="J207">
        <f t="shared" si="26"/>
        <v>0</v>
      </c>
      <c r="K207">
        <f t="shared" si="27"/>
        <v>0</v>
      </c>
      <c r="L207">
        <v>3</v>
      </c>
      <c r="M207">
        <v>16.47</v>
      </c>
      <c r="N207">
        <v>3.23</v>
      </c>
    </row>
    <row r="208" spans="1:14" x14ac:dyDescent="0.35">
      <c r="A208" t="s">
        <v>11</v>
      </c>
      <c r="B208" t="s">
        <v>22</v>
      </c>
      <c r="C208" t="s">
        <v>21</v>
      </c>
      <c r="D208" t="s">
        <v>10</v>
      </c>
      <c r="E208">
        <f t="shared" si="21"/>
        <v>1</v>
      </c>
      <c r="F208">
        <f t="shared" si="22"/>
        <v>1</v>
      </c>
      <c r="G208">
        <f t="shared" si="23"/>
        <v>1</v>
      </c>
      <c r="H208">
        <f t="shared" si="24"/>
        <v>0</v>
      </c>
      <c r="I208">
        <f t="shared" si="25"/>
        <v>0</v>
      </c>
      <c r="J208">
        <f t="shared" si="26"/>
        <v>1</v>
      </c>
      <c r="K208">
        <f t="shared" si="27"/>
        <v>0</v>
      </c>
      <c r="L208">
        <v>3</v>
      </c>
      <c r="M208">
        <v>26.59</v>
      </c>
      <c r="N208">
        <v>3.41</v>
      </c>
    </row>
    <row r="209" spans="1:14" x14ac:dyDescent="0.35">
      <c r="A209" t="s">
        <v>11</v>
      </c>
      <c r="B209" t="s">
        <v>22</v>
      </c>
      <c r="C209" t="s">
        <v>21</v>
      </c>
      <c r="D209" t="s">
        <v>10</v>
      </c>
      <c r="E209">
        <f t="shared" si="21"/>
        <v>1</v>
      </c>
      <c r="F209">
        <f t="shared" si="22"/>
        <v>1</v>
      </c>
      <c r="G209">
        <f t="shared" si="23"/>
        <v>1</v>
      </c>
      <c r="H209">
        <f t="shared" si="24"/>
        <v>0</v>
      </c>
      <c r="I209">
        <f t="shared" si="25"/>
        <v>0</v>
      </c>
      <c r="J209">
        <f t="shared" si="26"/>
        <v>1</v>
      </c>
      <c r="K209">
        <f t="shared" si="27"/>
        <v>0</v>
      </c>
      <c r="L209">
        <v>4</v>
      </c>
      <c r="M209">
        <v>38.729999999999997</v>
      </c>
      <c r="N209">
        <v>3</v>
      </c>
    </row>
    <row r="210" spans="1:14" x14ac:dyDescent="0.35">
      <c r="A210" t="s">
        <v>11</v>
      </c>
      <c r="B210" t="s">
        <v>22</v>
      </c>
      <c r="C210" t="s">
        <v>21</v>
      </c>
      <c r="D210" t="s">
        <v>10</v>
      </c>
      <c r="E210">
        <f t="shared" si="21"/>
        <v>1</v>
      </c>
      <c r="F210">
        <f t="shared" si="22"/>
        <v>1</v>
      </c>
      <c r="G210">
        <f t="shared" si="23"/>
        <v>1</v>
      </c>
      <c r="H210">
        <f t="shared" si="24"/>
        <v>0</v>
      </c>
      <c r="I210">
        <f t="shared" si="25"/>
        <v>0</v>
      </c>
      <c r="J210">
        <f t="shared" si="26"/>
        <v>1</v>
      </c>
      <c r="K210">
        <f t="shared" si="27"/>
        <v>0</v>
      </c>
      <c r="L210">
        <v>2</v>
      </c>
      <c r="M210">
        <v>24.27</v>
      </c>
      <c r="N210">
        <v>2.0299999999999998</v>
      </c>
    </row>
    <row r="211" spans="1:14" x14ac:dyDescent="0.35">
      <c r="A211" t="s">
        <v>7</v>
      </c>
      <c r="B211" t="s">
        <v>22</v>
      </c>
      <c r="C211" t="s">
        <v>21</v>
      </c>
      <c r="D211" t="s">
        <v>10</v>
      </c>
      <c r="E211">
        <f t="shared" si="21"/>
        <v>0</v>
      </c>
      <c r="F211">
        <f t="shared" si="22"/>
        <v>1</v>
      </c>
      <c r="G211">
        <f t="shared" si="23"/>
        <v>1</v>
      </c>
      <c r="H211">
        <f t="shared" si="24"/>
        <v>0</v>
      </c>
      <c r="I211">
        <f t="shared" si="25"/>
        <v>0</v>
      </c>
      <c r="J211">
        <f t="shared" si="26"/>
        <v>1</v>
      </c>
      <c r="K211">
        <f t="shared" si="27"/>
        <v>0</v>
      </c>
      <c r="L211">
        <v>2</v>
      </c>
      <c r="M211">
        <v>12.76</v>
      </c>
      <c r="N211">
        <v>2.23</v>
      </c>
    </row>
    <row r="212" spans="1:14" x14ac:dyDescent="0.35">
      <c r="A212" t="s">
        <v>11</v>
      </c>
      <c r="B212" t="s">
        <v>22</v>
      </c>
      <c r="C212" t="s">
        <v>21</v>
      </c>
      <c r="D212" t="s">
        <v>10</v>
      </c>
      <c r="E212">
        <f t="shared" si="21"/>
        <v>1</v>
      </c>
      <c r="F212">
        <f t="shared" si="22"/>
        <v>1</v>
      </c>
      <c r="G212">
        <f t="shared" si="23"/>
        <v>1</v>
      </c>
      <c r="H212">
        <f t="shared" si="24"/>
        <v>0</v>
      </c>
      <c r="I212">
        <f t="shared" si="25"/>
        <v>0</v>
      </c>
      <c r="J212">
        <f t="shared" si="26"/>
        <v>1</v>
      </c>
      <c r="K212">
        <f t="shared" si="27"/>
        <v>0</v>
      </c>
      <c r="L212">
        <v>3</v>
      </c>
      <c r="M212">
        <v>30.06</v>
      </c>
      <c r="N212">
        <v>2</v>
      </c>
    </row>
    <row r="213" spans="1:14" x14ac:dyDescent="0.35">
      <c r="A213" t="s">
        <v>11</v>
      </c>
      <c r="B213" t="s">
        <v>22</v>
      </c>
      <c r="C213" t="s">
        <v>21</v>
      </c>
      <c r="D213" t="s">
        <v>10</v>
      </c>
      <c r="E213">
        <f t="shared" si="21"/>
        <v>1</v>
      </c>
      <c r="F213">
        <f t="shared" si="22"/>
        <v>1</v>
      </c>
      <c r="G213">
        <f t="shared" si="23"/>
        <v>1</v>
      </c>
      <c r="H213">
        <f t="shared" si="24"/>
        <v>0</v>
      </c>
      <c r="I213">
        <f t="shared" si="25"/>
        <v>0</v>
      </c>
      <c r="J213">
        <f t="shared" si="26"/>
        <v>1</v>
      </c>
      <c r="K213">
        <f t="shared" si="27"/>
        <v>0</v>
      </c>
      <c r="L213">
        <v>4</v>
      </c>
      <c r="M213">
        <v>25.89</v>
      </c>
      <c r="N213">
        <v>5.16</v>
      </c>
    </row>
    <row r="214" spans="1:14" x14ac:dyDescent="0.35">
      <c r="A214" t="s">
        <v>11</v>
      </c>
      <c r="B214" t="s">
        <v>8</v>
      </c>
      <c r="C214" t="s">
        <v>21</v>
      </c>
      <c r="D214" t="s">
        <v>10</v>
      </c>
      <c r="E214">
        <f t="shared" si="21"/>
        <v>1</v>
      </c>
      <c r="F214">
        <f t="shared" si="22"/>
        <v>0</v>
      </c>
      <c r="G214">
        <f t="shared" si="23"/>
        <v>1</v>
      </c>
      <c r="H214">
        <f t="shared" si="24"/>
        <v>0</v>
      </c>
      <c r="I214">
        <f t="shared" si="25"/>
        <v>0</v>
      </c>
      <c r="J214">
        <f t="shared" si="26"/>
        <v>1</v>
      </c>
      <c r="K214">
        <f t="shared" si="27"/>
        <v>0</v>
      </c>
      <c r="L214">
        <v>4</v>
      </c>
      <c r="M214">
        <v>48.33</v>
      </c>
      <c r="N214">
        <v>9</v>
      </c>
    </row>
    <row r="215" spans="1:14" x14ac:dyDescent="0.35">
      <c r="A215" t="s">
        <v>7</v>
      </c>
      <c r="B215" t="s">
        <v>22</v>
      </c>
      <c r="C215" t="s">
        <v>21</v>
      </c>
      <c r="D215" t="s">
        <v>10</v>
      </c>
      <c r="E215">
        <f t="shared" si="21"/>
        <v>0</v>
      </c>
      <c r="F215">
        <f t="shared" si="22"/>
        <v>1</v>
      </c>
      <c r="G215">
        <f t="shared" si="23"/>
        <v>1</v>
      </c>
      <c r="H215">
        <f t="shared" si="24"/>
        <v>0</v>
      </c>
      <c r="I215">
        <f t="shared" si="25"/>
        <v>0</v>
      </c>
      <c r="J215">
        <f t="shared" si="26"/>
        <v>1</v>
      </c>
      <c r="K215">
        <f t="shared" si="27"/>
        <v>0</v>
      </c>
      <c r="L215">
        <v>2</v>
      </c>
      <c r="M215">
        <v>13.27</v>
      </c>
      <c r="N215">
        <v>2.5</v>
      </c>
    </row>
    <row r="216" spans="1:14" x14ac:dyDescent="0.35">
      <c r="A216" t="s">
        <v>7</v>
      </c>
      <c r="B216" t="s">
        <v>22</v>
      </c>
      <c r="C216" t="s">
        <v>21</v>
      </c>
      <c r="D216" t="s">
        <v>10</v>
      </c>
      <c r="E216">
        <f t="shared" si="21"/>
        <v>0</v>
      </c>
      <c r="F216">
        <f t="shared" si="22"/>
        <v>1</v>
      </c>
      <c r="G216">
        <f t="shared" si="23"/>
        <v>1</v>
      </c>
      <c r="H216">
        <f t="shared" si="24"/>
        <v>0</v>
      </c>
      <c r="I216">
        <f t="shared" si="25"/>
        <v>0</v>
      </c>
      <c r="J216">
        <f t="shared" si="26"/>
        <v>1</v>
      </c>
      <c r="K216">
        <f t="shared" si="27"/>
        <v>0</v>
      </c>
      <c r="L216">
        <v>3</v>
      </c>
      <c r="M216">
        <v>28.17</v>
      </c>
      <c r="N216">
        <v>6.5</v>
      </c>
    </row>
    <row r="217" spans="1:14" x14ac:dyDescent="0.35">
      <c r="A217" t="s">
        <v>7</v>
      </c>
      <c r="B217" t="s">
        <v>22</v>
      </c>
      <c r="C217" t="s">
        <v>21</v>
      </c>
      <c r="D217" t="s">
        <v>10</v>
      </c>
      <c r="E217">
        <f t="shared" si="21"/>
        <v>0</v>
      </c>
      <c r="F217">
        <f t="shared" si="22"/>
        <v>1</v>
      </c>
      <c r="G217">
        <f t="shared" si="23"/>
        <v>1</v>
      </c>
      <c r="H217">
        <f t="shared" si="24"/>
        <v>0</v>
      </c>
      <c r="I217">
        <f t="shared" si="25"/>
        <v>0</v>
      </c>
      <c r="J217">
        <f t="shared" si="26"/>
        <v>1</v>
      </c>
      <c r="K217">
        <f t="shared" si="27"/>
        <v>0</v>
      </c>
      <c r="L217">
        <v>2</v>
      </c>
      <c r="M217">
        <v>12.9</v>
      </c>
      <c r="N217">
        <v>1.1000000000000001</v>
      </c>
    </row>
    <row r="218" spans="1:14" x14ac:dyDescent="0.35">
      <c r="A218" t="s">
        <v>11</v>
      </c>
      <c r="B218" t="s">
        <v>22</v>
      </c>
      <c r="C218" t="s">
        <v>21</v>
      </c>
      <c r="D218" t="s">
        <v>10</v>
      </c>
      <c r="E218">
        <f t="shared" si="21"/>
        <v>1</v>
      </c>
      <c r="F218">
        <f t="shared" si="22"/>
        <v>1</v>
      </c>
      <c r="G218">
        <f t="shared" si="23"/>
        <v>1</v>
      </c>
      <c r="H218">
        <f t="shared" si="24"/>
        <v>0</v>
      </c>
      <c r="I218">
        <f t="shared" si="25"/>
        <v>0</v>
      </c>
      <c r="J218">
        <f t="shared" si="26"/>
        <v>1</v>
      </c>
      <c r="K218">
        <f t="shared" si="27"/>
        <v>0</v>
      </c>
      <c r="L218">
        <v>5</v>
      </c>
      <c r="M218">
        <v>28.15</v>
      </c>
      <c r="N218">
        <v>3</v>
      </c>
    </row>
    <row r="219" spans="1:14" x14ac:dyDescent="0.35">
      <c r="A219" t="s">
        <v>11</v>
      </c>
      <c r="B219" t="s">
        <v>22</v>
      </c>
      <c r="C219" t="s">
        <v>21</v>
      </c>
      <c r="D219" t="s">
        <v>10</v>
      </c>
      <c r="E219">
        <f t="shared" si="21"/>
        <v>1</v>
      </c>
      <c r="F219">
        <f t="shared" si="22"/>
        <v>1</v>
      </c>
      <c r="G219">
        <f t="shared" si="23"/>
        <v>1</v>
      </c>
      <c r="H219">
        <f t="shared" si="24"/>
        <v>0</v>
      </c>
      <c r="I219">
        <f t="shared" si="25"/>
        <v>0</v>
      </c>
      <c r="J219">
        <f t="shared" si="26"/>
        <v>1</v>
      </c>
      <c r="K219">
        <f t="shared" si="27"/>
        <v>0</v>
      </c>
      <c r="L219">
        <v>2</v>
      </c>
      <c r="M219">
        <v>11.59</v>
      </c>
      <c r="N219">
        <v>1.5</v>
      </c>
    </row>
    <row r="220" spans="1:14" x14ac:dyDescent="0.35">
      <c r="A220" t="s">
        <v>11</v>
      </c>
      <c r="B220" t="s">
        <v>22</v>
      </c>
      <c r="C220" t="s">
        <v>21</v>
      </c>
      <c r="D220" t="s">
        <v>10</v>
      </c>
      <c r="E220">
        <f t="shared" si="21"/>
        <v>1</v>
      </c>
      <c r="F220">
        <f t="shared" si="22"/>
        <v>1</v>
      </c>
      <c r="G220">
        <f t="shared" si="23"/>
        <v>1</v>
      </c>
      <c r="H220">
        <f t="shared" si="24"/>
        <v>0</v>
      </c>
      <c r="I220">
        <f t="shared" si="25"/>
        <v>0</v>
      </c>
      <c r="J220">
        <f t="shared" si="26"/>
        <v>1</v>
      </c>
      <c r="K220">
        <f t="shared" si="27"/>
        <v>0</v>
      </c>
      <c r="L220">
        <v>2</v>
      </c>
      <c r="M220">
        <v>7.74</v>
      </c>
      <c r="N220">
        <v>1.44</v>
      </c>
    </row>
    <row r="221" spans="1:14" x14ac:dyDescent="0.35">
      <c r="A221" t="s">
        <v>7</v>
      </c>
      <c r="B221" t="s">
        <v>22</v>
      </c>
      <c r="C221" t="s">
        <v>21</v>
      </c>
      <c r="D221" t="s">
        <v>10</v>
      </c>
      <c r="E221">
        <f t="shared" si="21"/>
        <v>0</v>
      </c>
      <c r="F221">
        <f t="shared" si="22"/>
        <v>1</v>
      </c>
      <c r="G221">
        <f t="shared" si="23"/>
        <v>1</v>
      </c>
      <c r="H221">
        <f t="shared" si="24"/>
        <v>0</v>
      </c>
      <c r="I221">
        <f t="shared" si="25"/>
        <v>0</v>
      </c>
      <c r="J221">
        <f t="shared" si="26"/>
        <v>1</v>
      </c>
      <c r="K221">
        <f t="shared" si="27"/>
        <v>0</v>
      </c>
      <c r="L221">
        <v>4</v>
      </c>
      <c r="M221">
        <v>30.14</v>
      </c>
      <c r="N221">
        <v>3.09</v>
      </c>
    </row>
    <row r="222" spans="1:14" x14ac:dyDescent="0.35">
      <c r="A222" t="s">
        <v>11</v>
      </c>
      <c r="B222" t="s">
        <v>22</v>
      </c>
      <c r="C222" t="s">
        <v>25</v>
      </c>
      <c r="D222" t="s">
        <v>24</v>
      </c>
      <c r="E222">
        <f t="shared" si="21"/>
        <v>1</v>
      </c>
      <c r="F222">
        <f t="shared" si="22"/>
        <v>1</v>
      </c>
      <c r="G222">
        <f t="shared" si="23"/>
        <v>0</v>
      </c>
      <c r="H222">
        <f t="shared" si="24"/>
        <v>0</v>
      </c>
      <c r="I222">
        <f t="shared" si="25"/>
        <v>1</v>
      </c>
      <c r="J222">
        <f t="shared" si="26"/>
        <v>0</v>
      </c>
      <c r="K222">
        <f t="shared" si="27"/>
        <v>0</v>
      </c>
      <c r="L222">
        <v>2</v>
      </c>
      <c r="M222">
        <v>12.16</v>
      </c>
      <c r="N222">
        <v>2.2000000000000002</v>
      </c>
    </row>
    <row r="223" spans="1:14" x14ac:dyDescent="0.35">
      <c r="A223" t="s">
        <v>7</v>
      </c>
      <c r="B223" t="s">
        <v>22</v>
      </c>
      <c r="C223" t="s">
        <v>25</v>
      </c>
      <c r="D223" t="s">
        <v>24</v>
      </c>
      <c r="E223">
        <f t="shared" si="21"/>
        <v>0</v>
      </c>
      <c r="F223">
        <f t="shared" si="22"/>
        <v>1</v>
      </c>
      <c r="G223">
        <f t="shared" si="23"/>
        <v>0</v>
      </c>
      <c r="H223">
        <f t="shared" si="24"/>
        <v>0</v>
      </c>
      <c r="I223">
        <f t="shared" si="25"/>
        <v>1</v>
      </c>
      <c r="J223">
        <f t="shared" si="26"/>
        <v>0</v>
      </c>
      <c r="K223">
        <f t="shared" si="27"/>
        <v>0</v>
      </c>
      <c r="L223">
        <v>2</v>
      </c>
      <c r="M223">
        <v>13.42</v>
      </c>
      <c r="N223">
        <v>3.48</v>
      </c>
    </row>
    <row r="224" spans="1:14" x14ac:dyDescent="0.35">
      <c r="A224" t="s">
        <v>11</v>
      </c>
      <c r="B224" t="s">
        <v>22</v>
      </c>
      <c r="C224" t="s">
        <v>25</v>
      </c>
      <c r="D224" t="s">
        <v>24</v>
      </c>
      <c r="E224">
        <f t="shared" si="21"/>
        <v>1</v>
      </c>
      <c r="F224">
        <f t="shared" si="22"/>
        <v>1</v>
      </c>
      <c r="G224">
        <f t="shared" si="23"/>
        <v>0</v>
      </c>
      <c r="H224">
        <f t="shared" si="24"/>
        <v>0</v>
      </c>
      <c r="I224">
        <f t="shared" si="25"/>
        <v>1</v>
      </c>
      <c r="J224">
        <f t="shared" si="26"/>
        <v>0</v>
      </c>
      <c r="K224">
        <f t="shared" si="27"/>
        <v>0</v>
      </c>
      <c r="L224">
        <v>1</v>
      </c>
      <c r="M224">
        <v>8.58</v>
      </c>
      <c r="N224">
        <v>1.92</v>
      </c>
    </row>
    <row r="225" spans="1:14" x14ac:dyDescent="0.35">
      <c r="A225" t="s">
        <v>7</v>
      </c>
      <c r="B225" t="s">
        <v>8</v>
      </c>
      <c r="C225" t="s">
        <v>25</v>
      </c>
      <c r="D225" t="s">
        <v>24</v>
      </c>
      <c r="E225">
        <f t="shared" si="21"/>
        <v>0</v>
      </c>
      <c r="F225">
        <f t="shared" si="22"/>
        <v>0</v>
      </c>
      <c r="G225">
        <f t="shared" si="23"/>
        <v>0</v>
      </c>
      <c r="H225">
        <f t="shared" si="24"/>
        <v>0</v>
      </c>
      <c r="I225">
        <f t="shared" si="25"/>
        <v>1</v>
      </c>
      <c r="J225">
        <f t="shared" si="26"/>
        <v>0</v>
      </c>
      <c r="K225">
        <f t="shared" si="27"/>
        <v>0</v>
      </c>
      <c r="L225">
        <v>3</v>
      </c>
      <c r="M225">
        <v>15.98</v>
      </c>
      <c r="N225">
        <v>3</v>
      </c>
    </row>
    <row r="226" spans="1:14" x14ac:dyDescent="0.35">
      <c r="A226" t="s">
        <v>11</v>
      </c>
      <c r="B226" t="s">
        <v>22</v>
      </c>
      <c r="C226" t="s">
        <v>25</v>
      </c>
      <c r="D226" t="s">
        <v>24</v>
      </c>
      <c r="E226">
        <f t="shared" si="21"/>
        <v>1</v>
      </c>
      <c r="F226">
        <f t="shared" si="22"/>
        <v>1</v>
      </c>
      <c r="G226">
        <f t="shared" si="23"/>
        <v>0</v>
      </c>
      <c r="H226">
        <f t="shared" si="24"/>
        <v>0</v>
      </c>
      <c r="I226">
        <f t="shared" si="25"/>
        <v>1</v>
      </c>
      <c r="J226">
        <f t="shared" si="26"/>
        <v>0</v>
      </c>
      <c r="K226">
        <f t="shared" si="27"/>
        <v>0</v>
      </c>
      <c r="L226">
        <v>2</v>
      </c>
      <c r="M226">
        <v>13.42</v>
      </c>
      <c r="N226">
        <v>1.58</v>
      </c>
    </row>
    <row r="227" spans="1:14" x14ac:dyDescent="0.35">
      <c r="A227" t="s">
        <v>7</v>
      </c>
      <c r="B227" t="s">
        <v>22</v>
      </c>
      <c r="C227" t="s">
        <v>25</v>
      </c>
      <c r="D227" t="s">
        <v>24</v>
      </c>
      <c r="E227">
        <f t="shared" si="21"/>
        <v>0</v>
      </c>
      <c r="F227">
        <f t="shared" si="22"/>
        <v>1</v>
      </c>
      <c r="G227">
        <f t="shared" si="23"/>
        <v>0</v>
      </c>
      <c r="H227">
        <f t="shared" si="24"/>
        <v>0</v>
      </c>
      <c r="I227">
        <f t="shared" si="25"/>
        <v>1</v>
      </c>
      <c r="J227">
        <f t="shared" si="26"/>
        <v>0</v>
      </c>
      <c r="K227">
        <f t="shared" si="27"/>
        <v>0</v>
      </c>
      <c r="L227">
        <v>2</v>
      </c>
      <c r="M227">
        <v>16.27</v>
      </c>
      <c r="N227">
        <v>2.5</v>
      </c>
    </row>
    <row r="228" spans="1:14" x14ac:dyDescent="0.35">
      <c r="A228" t="s">
        <v>7</v>
      </c>
      <c r="B228" t="s">
        <v>22</v>
      </c>
      <c r="C228" t="s">
        <v>25</v>
      </c>
      <c r="D228" t="s">
        <v>24</v>
      </c>
      <c r="E228">
        <f t="shared" si="21"/>
        <v>0</v>
      </c>
      <c r="F228">
        <f t="shared" si="22"/>
        <v>1</v>
      </c>
      <c r="G228">
        <f t="shared" si="23"/>
        <v>0</v>
      </c>
      <c r="H228">
        <f t="shared" si="24"/>
        <v>0</v>
      </c>
      <c r="I228">
        <f t="shared" si="25"/>
        <v>1</v>
      </c>
      <c r="J228">
        <f t="shared" si="26"/>
        <v>0</v>
      </c>
      <c r="K228">
        <f t="shared" si="27"/>
        <v>0</v>
      </c>
      <c r="L228">
        <v>2</v>
      </c>
      <c r="M228">
        <v>10.09</v>
      </c>
      <c r="N228">
        <v>2</v>
      </c>
    </row>
    <row r="229" spans="1:14" x14ac:dyDescent="0.35">
      <c r="A229" t="s">
        <v>11</v>
      </c>
      <c r="B229" t="s">
        <v>8</v>
      </c>
      <c r="C229" t="s">
        <v>21</v>
      </c>
      <c r="D229" t="s">
        <v>10</v>
      </c>
      <c r="E229">
        <f t="shared" si="21"/>
        <v>1</v>
      </c>
      <c r="F229">
        <f t="shared" si="22"/>
        <v>0</v>
      </c>
      <c r="G229">
        <f t="shared" si="23"/>
        <v>1</v>
      </c>
      <c r="H229">
        <f t="shared" si="24"/>
        <v>0</v>
      </c>
      <c r="I229">
        <f t="shared" si="25"/>
        <v>0</v>
      </c>
      <c r="J229">
        <f t="shared" si="26"/>
        <v>1</v>
      </c>
      <c r="K229">
        <f t="shared" si="27"/>
        <v>0</v>
      </c>
      <c r="L229">
        <v>4</v>
      </c>
      <c r="M229">
        <v>20.45</v>
      </c>
      <c r="N229">
        <v>3</v>
      </c>
    </row>
    <row r="230" spans="1:14" x14ac:dyDescent="0.35">
      <c r="A230" t="s">
        <v>11</v>
      </c>
      <c r="B230" t="s">
        <v>8</v>
      </c>
      <c r="C230" t="s">
        <v>21</v>
      </c>
      <c r="D230" t="s">
        <v>10</v>
      </c>
      <c r="E230">
        <f t="shared" si="21"/>
        <v>1</v>
      </c>
      <c r="F230">
        <f t="shared" si="22"/>
        <v>0</v>
      </c>
      <c r="G230">
        <f t="shared" si="23"/>
        <v>1</v>
      </c>
      <c r="H230">
        <f t="shared" si="24"/>
        <v>0</v>
      </c>
      <c r="I230">
        <f t="shared" si="25"/>
        <v>0</v>
      </c>
      <c r="J230">
        <f t="shared" si="26"/>
        <v>1</v>
      </c>
      <c r="K230">
        <f t="shared" si="27"/>
        <v>0</v>
      </c>
      <c r="L230">
        <v>2</v>
      </c>
      <c r="M230">
        <v>13.28</v>
      </c>
      <c r="N230">
        <v>2.72</v>
      </c>
    </row>
    <row r="231" spans="1:14" x14ac:dyDescent="0.35">
      <c r="A231" t="s">
        <v>7</v>
      </c>
      <c r="B231" t="s">
        <v>22</v>
      </c>
      <c r="C231" t="s">
        <v>21</v>
      </c>
      <c r="D231" t="s">
        <v>10</v>
      </c>
      <c r="E231">
        <f t="shared" si="21"/>
        <v>0</v>
      </c>
      <c r="F231">
        <f t="shared" si="22"/>
        <v>1</v>
      </c>
      <c r="G231">
        <f t="shared" si="23"/>
        <v>1</v>
      </c>
      <c r="H231">
        <f t="shared" si="24"/>
        <v>0</v>
      </c>
      <c r="I231">
        <f t="shared" si="25"/>
        <v>0</v>
      </c>
      <c r="J231">
        <f t="shared" si="26"/>
        <v>1</v>
      </c>
      <c r="K231">
        <f t="shared" si="27"/>
        <v>0</v>
      </c>
      <c r="L231">
        <v>2</v>
      </c>
      <c r="M231">
        <v>22.12</v>
      </c>
      <c r="N231">
        <v>2.88</v>
      </c>
    </row>
    <row r="232" spans="1:14" x14ac:dyDescent="0.35">
      <c r="A232" t="s">
        <v>11</v>
      </c>
      <c r="B232" t="s">
        <v>22</v>
      </c>
      <c r="C232" t="s">
        <v>21</v>
      </c>
      <c r="D232" t="s">
        <v>10</v>
      </c>
      <c r="E232">
        <f t="shared" si="21"/>
        <v>1</v>
      </c>
      <c r="F232">
        <f t="shared" si="22"/>
        <v>1</v>
      </c>
      <c r="G232">
        <f t="shared" si="23"/>
        <v>1</v>
      </c>
      <c r="H232">
        <f t="shared" si="24"/>
        <v>0</v>
      </c>
      <c r="I232">
        <f t="shared" si="25"/>
        <v>0</v>
      </c>
      <c r="J232">
        <f t="shared" si="26"/>
        <v>1</v>
      </c>
      <c r="K232">
        <f t="shared" si="27"/>
        <v>0</v>
      </c>
      <c r="L232">
        <v>4</v>
      </c>
      <c r="M232">
        <v>24.01</v>
      </c>
      <c r="N232">
        <v>2</v>
      </c>
    </row>
    <row r="233" spans="1:14" x14ac:dyDescent="0.35">
      <c r="A233" t="s">
        <v>11</v>
      </c>
      <c r="B233" t="s">
        <v>22</v>
      </c>
      <c r="C233" t="s">
        <v>21</v>
      </c>
      <c r="D233" t="s">
        <v>10</v>
      </c>
      <c r="E233">
        <f t="shared" si="21"/>
        <v>1</v>
      </c>
      <c r="F233">
        <f t="shared" si="22"/>
        <v>1</v>
      </c>
      <c r="G233">
        <f t="shared" si="23"/>
        <v>1</v>
      </c>
      <c r="H233">
        <f t="shared" si="24"/>
        <v>0</v>
      </c>
      <c r="I233">
        <f t="shared" si="25"/>
        <v>0</v>
      </c>
      <c r="J233">
        <f t="shared" si="26"/>
        <v>1</v>
      </c>
      <c r="K233">
        <f t="shared" si="27"/>
        <v>0</v>
      </c>
      <c r="L233">
        <v>3</v>
      </c>
      <c r="M233">
        <v>15.69</v>
      </c>
      <c r="N233">
        <v>3</v>
      </c>
    </row>
    <row r="234" spans="1:14" x14ac:dyDescent="0.35">
      <c r="A234" t="s">
        <v>11</v>
      </c>
      <c r="B234" t="s">
        <v>8</v>
      </c>
      <c r="C234" t="s">
        <v>21</v>
      </c>
      <c r="D234" t="s">
        <v>10</v>
      </c>
      <c r="E234">
        <f t="shared" si="21"/>
        <v>1</v>
      </c>
      <c r="F234">
        <f t="shared" si="22"/>
        <v>0</v>
      </c>
      <c r="G234">
        <f t="shared" si="23"/>
        <v>1</v>
      </c>
      <c r="H234">
        <f t="shared" si="24"/>
        <v>0</v>
      </c>
      <c r="I234">
        <f t="shared" si="25"/>
        <v>0</v>
      </c>
      <c r="J234">
        <f t="shared" si="26"/>
        <v>1</v>
      </c>
      <c r="K234">
        <f t="shared" si="27"/>
        <v>0</v>
      </c>
      <c r="L234">
        <v>2</v>
      </c>
      <c r="M234">
        <v>11.61</v>
      </c>
      <c r="N234">
        <v>3.39</v>
      </c>
    </row>
    <row r="235" spans="1:14" x14ac:dyDescent="0.35">
      <c r="A235" t="s">
        <v>11</v>
      </c>
      <c r="B235" t="s">
        <v>8</v>
      </c>
      <c r="C235" t="s">
        <v>21</v>
      </c>
      <c r="D235" t="s">
        <v>10</v>
      </c>
      <c r="E235">
        <f t="shared" si="21"/>
        <v>1</v>
      </c>
      <c r="F235">
        <f t="shared" si="22"/>
        <v>0</v>
      </c>
      <c r="G235">
        <f t="shared" si="23"/>
        <v>1</v>
      </c>
      <c r="H235">
        <f t="shared" si="24"/>
        <v>0</v>
      </c>
      <c r="I235">
        <f t="shared" si="25"/>
        <v>0</v>
      </c>
      <c r="J235">
        <f t="shared" si="26"/>
        <v>1</v>
      </c>
      <c r="K235">
        <f t="shared" si="27"/>
        <v>0</v>
      </c>
      <c r="L235">
        <v>2</v>
      </c>
      <c r="M235">
        <v>10.77</v>
      </c>
      <c r="N235">
        <v>1.47</v>
      </c>
    </row>
    <row r="236" spans="1:14" x14ac:dyDescent="0.35">
      <c r="A236" t="s">
        <v>11</v>
      </c>
      <c r="B236" t="s">
        <v>22</v>
      </c>
      <c r="C236" t="s">
        <v>21</v>
      </c>
      <c r="D236" t="s">
        <v>10</v>
      </c>
      <c r="E236">
        <f t="shared" si="21"/>
        <v>1</v>
      </c>
      <c r="F236">
        <f t="shared" si="22"/>
        <v>1</v>
      </c>
      <c r="G236">
        <f t="shared" si="23"/>
        <v>1</v>
      </c>
      <c r="H236">
        <f t="shared" si="24"/>
        <v>0</v>
      </c>
      <c r="I236">
        <f t="shared" si="25"/>
        <v>0</v>
      </c>
      <c r="J236">
        <f t="shared" si="26"/>
        <v>1</v>
      </c>
      <c r="K236">
        <f t="shared" si="27"/>
        <v>0</v>
      </c>
      <c r="L236">
        <v>2</v>
      </c>
      <c r="M236">
        <v>15.53</v>
      </c>
      <c r="N236">
        <v>3</v>
      </c>
    </row>
    <row r="237" spans="1:14" x14ac:dyDescent="0.35">
      <c r="A237" t="s">
        <v>11</v>
      </c>
      <c r="B237" t="s">
        <v>8</v>
      </c>
      <c r="C237" t="s">
        <v>21</v>
      </c>
      <c r="D237" t="s">
        <v>10</v>
      </c>
      <c r="E237">
        <f t="shared" si="21"/>
        <v>1</v>
      </c>
      <c r="F237">
        <f t="shared" si="22"/>
        <v>0</v>
      </c>
      <c r="G237">
        <f t="shared" si="23"/>
        <v>1</v>
      </c>
      <c r="H237">
        <f t="shared" si="24"/>
        <v>0</v>
      </c>
      <c r="I237">
        <f t="shared" si="25"/>
        <v>0</v>
      </c>
      <c r="J237">
        <f t="shared" si="26"/>
        <v>1</v>
      </c>
      <c r="K237">
        <f t="shared" si="27"/>
        <v>0</v>
      </c>
      <c r="L237">
        <v>2</v>
      </c>
      <c r="M237">
        <v>10.07</v>
      </c>
      <c r="N237">
        <v>1.25</v>
      </c>
    </row>
    <row r="238" spans="1:14" x14ac:dyDescent="0.35">
      <c r="A238" t="s">
        <v>11</v>
      </c>
      <c r="B238" t="s">
        <v>22</v>
      </c>
      <c r="C238" t="s">
        <v>21</v>
      </c>
      <c r="D238" t="s">
        <v>10</v>
      </c>
      <c r="E238">
        <f t="shared" si="21"/>
        <v>1</v>
      </c>
      <c r="F238">
        <f t="shared" si="22"/>
        <v>1</v>
      </c>
      <c r="G238">
        <f t="shared" si="23"/>
        <v>1</v>
      </c>
      <c r="H238">
        <f t="shared" si="24"/>
        <v>0</v>
      </c>
      <c r="I238">
        <f t="shared" si="25"/>
        <v>0</v>
      </c>
      <c r="J238">
        <f t="shared" si="26"/>
        <v>1</v>
      </c>
      <c r="K238">
        <f t="shared" si="27"/>
        <v>0</v>
      </c>
      <c r="L238">
        <v>2</v>
      </c>
      <c r="M238">
        <v>12.6</v>
      </c>
      <c r="N238">
        <v>1</v>
      </c>
    </row>
    <row r="239" spans="1:14" x14ac:dyDescent="0.35">
      <c r="A239" t="s">
        <v>11</v>
      </c>
      <c r="B239" t="s">
        <v>22</v>
      </c>
      <c r="C239" t="s">
        <v>21</v>
      </c>
      <c r="D239" t="s">
        <v>10</v>
      </c>
      <c r="E239">
        <f t="shared" si="21"/>
        <v>1</v>
      </c>
      <c r="F239">
        <f t="shared" si="22"/>
        <v>1</v>
      </c>
      <c r="G239">
        <f t="shared" si="23"/>
        <v>1</v>
      </c>
      <c r="H239">
        <f t="shared" si="24"/>
        <v>0</v>
      </c>
      <c r="I239">
        <f t="shared" si="25"/>
        <v>0</v>
      </c>
      <c r="J239">
        <f t="shared" si="26"/>
        <v>1</v>
      </c>
      <c r="K239">
        <f t="shared" si="27"/>
        <v>0</v>
      </c>
      <c r="L239">
        <v>2</v>
      </c>
      <c r="M239">
        <v>32.83</v>
      </c>
      <c r="N239">
        <v>1.17</v>
      </c>
    </row>
    <row r="240" spans="1:14" x14ac:dyDescent="0.35">
      <c r="A240" t="s">
        <v>7</v>
      </c>
      <c r="B240" t="s">
        <v>8</v>
      </c>
      <c r="C240" t="s">
        <v>21</v>
      </c>
      <c r="D240" t="s">
        <v>10</v>
      </c>
      <c r="E240">
        <f t="shared" si="21"/>
        <v>0</v>
      </c>
      <c r="F240">
        <f t="shared" si="22"/>
        <v>0</v>
      </c>
      <c r="G240">
        <f t="shared" si="23"/>
        <v>1</v>
      </c>
      <c r="H240">
        <f t="shared" si="24"/>
        <v>0</v>
      </c>
      <c r="I240">
        <f t="shared" si="25"/>
        <v>0</v>
      </c>
      <c r="J240">
        <f t="shared" si="26"/>
        <v>1</v>
      </c>
      <c r="K240">
        <f t="shared" si="27"/>
        <v>0</v>
      </c>
      <c r="L240">
        <v>3</v>
      </c>
      <c r="M240">
        <v>35.83</v>
      </c>
      <c r="N240">
        <v>4.67</v>
      </c>
    </row>
    <row r="241" spans="1:14" x14ac:dyDescent="0.35">
      <c r="A241" t="s">
        <v>11</v>
      </c>
      <c r="B241" t="s">
        <v>8</v>
      </c>
      <c r="C241" t="s">
        <v>21</v>
      </c>
      <c r="D241" t="s">
        <v>10</v>
      </c>
      <c r="E241">
        <f t="shared" si="21"/>
        <v>1</v>
      </c>
      <c r="F241">
        <f t="shared" si="22"/>
        <v>0</v>
      </c>
      <c r="G241">
        <f t="shared" si="23"/>
        <v>1</v>
      </c>
      <c r="H241">
        <f t="shared" si="24"/>
        <v>0</v>
      </c>
      <c r="I241">
        <f t="shared" si="25"/>
        <v>0</v>
      </c>
      <c r="J241">
        <f t="shared" si="26"/>
        <v>1</v>
      </c>
      <c r="K241">
        <f t="shared" si="27"/>
        <v>0</v>
      </c>
      <c r="L241">
        <v>3</v>
      </c>
      <c r="M241">
        <v>29.03</v>
      </c>
      <c r="N241">
        <v>5.92</v>
      </c>
    </row>
    <row r="242" spans="1:14" x14ac:dyDescent="0.35">
      <c r="A242" t="s">
        <v>7</v>
      </c>
      <c r="B242" t="s">
        <v>22</v>
      </c>
      <c r="C242" t="s">
        <v>21</v>
      </c>
      <c r="D242" t="s">
        <v>10</v>
      </c>
      <c r="E242">
        <f t="shared" si="21"/>
        <v>0</v>
      </c>
      <c r="F242">
        <f t="shared" si="22"/>
        <v>1</v>
      </c>
      <c r="G242">
        <f t="shared" si="23"/>
        <v>1</v>
      </c>
      <c r="H242">
        <f t="shared" si="24"/>
        <v>0</v>
      </c>
      <c r="I242">
        <f t="shared" si="25"/>
        <v>0</v>
      </c>
      <c r="J242">
        <f t="shared" si="26"/>
        <v>1</v>
      </c>
      <c r="K242">
        <f t="shared" si="27"/>
        <v>0</v>
      </c>
      <c r="L242">
        <v>2</v>
      </c>
      <c r="M242">
        <v>27.18</v>
      </c>
      <c r="N242">
        <v>2</v>
      </c>
    </row>
    <row r="243" spans="1:14" x14ac:dyDescent="0.35">
      <c r="A243" t="s">
        <v>11</v>
      </c>
      <c r="B243" t="s">
        <v>22</v>
      </c>
      <c r="C243" t="s">
        <v>21</v>
      </c>
      <c r="D243" t="s">
        <v>10</v>
      </c>
      <c r="E243">
        <f t="shared" si="21"/>
        <v>1</v>
      </c>
      <c r="F243">
        <f t="shared" si="22"/>
        <v>1</v>
      </c>
      <c r="G243">
        <f t="shared" si="23"/>
        <v>1</v>
      </c>
      <c r="H243">
        <f t="shared" si="24"/>
        <v>0</v>
      </c>
      <c r="I243">
        <f t="shared" si="25"/>
        <v>0</v>
      </c>
      <c r="J243">
        <f t="shared" si="26"/>
        <v>1</v>
      </c>
      <c r="K243">
        <f t="shared" si="27"/>
        <v>0</v>
      </c>
      <c r="L243">
        <v>2</v>
      </c>
      <c r="M243">
        <v>22.67</v>
      </c>
      <c r="N243">
        <v>2</v>
      </c>
    </row>
    <row r="244" spans="1:14" x14ac:dyDescent="0.35">
      <c r="A244" t="s">
        <v>11</v>
      </c>
      <c r="B244" t="s">
        <v>8</v>
      </c>
      <c r="C244" t="s">
        <v>21</v>
      </c>
      <c r="D244" t="s">
        <v>10</v>
      </c>
      <c r="E244">
        <f t="shared" si="21"/>
        <v>1</v>
      </c>
      <c r="F244">
        <f t="shared" si="22"/>
        <v>0</v>
      </c>
      <c r="G244">
        <f t="shared" si="23"/>
        <v>1</v>
      </c>
      <c r="H244">
        <f t="shared" si="24"/>
        <v>0</v>
      </c>
      <c r="I244">
        <f t="shared" si="25"/>
        <v>0</v>
      </c>
      <c r="J244">
        <f t="shared" si="26"/>
        <v>1</v>
      </c>
      <c r="K244">
        <f t="shared" si="27"/>
        <v>0</v>
      </c>
      <c r="L244">
        <v>2</v>
      </c>
      <c r="M244">
        <v>17.82</v>
      </c>
      <c r="N244">
        <v>1.75</v>
      </c>
    </row>
    <row r="245" spans="1:14" x14ac:dyDescent="0.35">
      <c r="A245" t="s">
        <v>7</v>
      </c>
      <c r="B245" t="s">
        <v>8</v>
      </c>
      <c r="C245" t="s">
        <v>23</v>
      </c>
      <c r="D245" t="s">
        <v>10</v>
      </c>
      <c r="E245">
        <f t="shared" si="21"/>
        <v>0</v>
      </c>
      <c r="F245">
        <f t="shared" si="22"/>
        <v>0</v>
      </c>
      <c r="G245">
        <f t="shared" si="23"/>
        <v>1</v>
      </c>
      <c r="H245">
        <f t="shared" si="24"/>
        <v>1</v>
      </c>
      <c r="I245">
        <f t="shared" si="25"/>
        <v>0</v>
      </c>
      <c r="J245">
        <f t="shared" si="26"/>
        <v>0</v>
      </c>
      <c r="K245">
        <f t="shared" si="27"/>
        <v>0</v>
      </c>
      <c r="L245">
        <v>2</v>
      </c>
      <c r="M245">
        <v>18.78</v>
      </c>
      <c r="N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2E24-8F5E-4B18-9891-0569EDA54BA9}">
  <dimension ref="A1:T245"/>
  <sheetViews>
    <sheetView topLeftCell="D2" workbookViewId="0">
      <selection activeCell="I1" activeCellId="1" sqref="E1:E1048576 I1:I1048576"/>
    </sheetView>
  </sheetViews>
  <sheetFormatPr defaultRowHeight="14.5" x14ac:dyDescent="0.35"/>
  <cols>
    <col min="4" max="4" width="10.81640625" bestFit="1" customWidth="1"/>
    <col min="5" max="5" width="11.1796875" bestFit="1" customWidth="1"/>
    <col min="10" max="10" width="13.453125"/>
    <col min="11" max="11" width="10.1796875" bestFit="1" customWidth="1"/>
    <col min="12" max="12" width="18.90625" bestFit="1" customWidth="1"/>
    <col min="13" max="13" width="14.6328125" bestFit="1" customWidth="1"/>
    <col min="14" max="14" width="19.6328125" bestFit="1" customWidth="1"/>
    <col min="15" max="15" width="21.81640625" bestFit="1" customWidth="1"/>
    <col min="16" max="16" width="22.453125" bestFit="1" customWidth="1"/>
    <col min="17" max="17" width="19.7265625" bestFit="1" customWidth="1"/>
    <col min="18" max="18" width="17.90625" bestFit="1" customWidth="1"/>
    <col min="19" max="19" width="18.36328125" bestFit="1" customWidth="1"/>
    <col min="20" max="20" width="18.90625" bestFit="1" customWidth="1"/>
  </cols>
  <sheetData>
    <row r="1" spans="1:20" x14ac:dyDescent="0.35">
      <c r="A1" t="s">
        <v>5</v>
      </c>
      <c r="B1" t="s">
        <v>4</v>
      </c>
      <c r="C1" t="s">
        <v>27</v>
      </c>
      <c r="D1" t="s">
        <v>26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6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</row>
    <row r="2" spans="1:20" x14ac:dyDescent="0.35">
      <c r="A2">
        <v>16.989999999999998</v>
      </c>
      <c r="B2">
        <v>2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1.01</v>
      </c>
      <c r="L2">
        <f>CORREL(A1:A245,J1:J245)</f>
        <v>0.67573410921136434</v>
      </c>
      <c r="M2">
        <f>CORREL(B1:B245,J1:J245)</f>
        <v>0.48929877523035786</v>
      </c>
      <c r="N2">
        <f>CORREL(C1:C245,J1:J245)</f>
        <v>8.8862061090736341E-2</v>
      </c>
      <c r="O2">
        <f>CORREL(D1:D245,J1:J245)</f>
        <v>5.9285395278066352E-3</v>
      </c>
      <c r="P2">
        <f>CORREL(E1:E245,J1:J245)</f>
        <v>0.12162906226028647</v>
      </c>
      <c r="Q2">
        <f>CORREL(F1:F245,J1:J245)</f>
        <v>-9.5879173257456374E-2</v>
      </c>
      <c r="R2">
        <f>CORREL(G1:G245,J1:J245)</f>
        <v>-5.5463128348157524E-2</v>
      </c>
      <c r="S2">
        <f>CORREL(H1:H245,J1:J245)</f>
        <v>-2.7900343614578574E-3</v>
      </c>
      <c r="T2">
        <f>CORREL(I1:I245,J1:J245)</f>
        <v>0.12511398261516635</v>
      </c>
    </row>
    <row r="3" spans="1:20" x14ac:dyDescent="0.35">
      <c r="A3">
        <v>10.34</v>
      </c>
      <c r="B3">
        <v>3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1.66</v>
      </c>
    </row>
    <row r="4" spans="1:20" x14ac:dyDescent="0.35">
      <c r="A4">
        <v>21.01</v>
      </c>
      <c r="B4">
        <v>3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3.5</v>
      </c>
    </row>
    <row r="5" spans="1:20" x14ac:dyDescent="0.35">
      <c r="A5">
        <v>23.68</v>
      </c>
      <c r="B5">
        <v>2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3.31</v>
      </c>
    </row>
    <row r="6" spans="1:20" x14ac:dyDescent="0.35">
      <c r="A6">
        <v>24.59</v>
      </c>
      <c r="B6">
        <v>4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3.61</v>
      </c>
    </row>
    <row r="7" spans="1:20" x14ac:dyDescent="0.35">
      <c r="A7">
        <v>25.29</v>
      </c>
      <c r="B7">
        <v>4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4.71</v>
      </c>
    </row>
    <row r="8" spans="1:20" x14ac:dyDescent="0.35">
      <c r="A8">
        <v>8.77</v>
      </c>
      <c r="B8">
        <v>2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2</v>
      </c>
    </row>
    <row r="9" spans="1:20" x14ac:dyDescent="0.35">
      <c r="A9">
        <v>26.88</v>
      </c>
      <c r="B9">
        <v>4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3.12</v>
      </c>
    </row>
    <row r="10" spans="1:20" x14ac:dyDescent="0.35">
      <c r="A10">
        <v>15.04</v>
      </c>
      <c r="B10">
        <v>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1.96</v>
      </c>
    </row>
    <row r="11" spans="1:20" x14ac:dyDescent="0.35">
      <c r="A11">
        <v>14.78</v>
      </c>
      <c r="B11">
        <v>2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3.23</v>
      </c>
    </row>
    <row r="12" spans="1:20" x14ac:dyDescent="0.35">
      <c r="A12">
        <v>10.27</v>
      </c>
      <c r="B12">
        <v>2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1.71</v>
      </c>
    </row>
    <row r="13" spans="1:20" x14ac:dyDescent="0.35">
      <c r="A13">
        <v>35.26</v>
      </c>
      <c r="B13">
        <v>4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5</v>
      </c>
    </row>
    <row r="14" spans="1:20" x14ac:dyDescent="0.35">
      <c r="A14">
        <v>15.42</v>
      </c>
      <c r="B14">
        <v>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1.57</v>
      </c>
    </row>
    <row r="15" spans="1:20" x14ac:dyDescent="0.35">
      <c r="A15">
        <v>18.43</v>
      </c>
      <c r="B15">
        <v>4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3</v>
      </c>
    </row>
    <row r="16" spans="1:20" x14ac:dyDescent="0.35">
      <c r="A16">
        <v>14.83</v>
      </c>
      <c r="B16">
        <v>2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3.02</v>
      </c>
    </row>
    <row r="17" spans="1:10" x14ac:dyDescent="0.35">
      <c r="A17">
        <v>21.58</v>
      </c>
      <c r="B17">
        <v>2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3.92</v>
      </c>
    </row>
    <row r="18" spans="1:10" x14ac:dyDescent="0.35">
      <c r="A18">
        <v>10.33</v>
      </c>
      <c r="B18">
        <v>3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1.67</v>
      </c>
    </row>
    <row r="19" spans="1:10" x14ac:dyDescent="0.35">
      <c r="A19">
        <v>16.29</v>
      </c>
      <c r="B19">
        <v>3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3.71</v>
      </c>
    </row>
    <row r="20" spans="1:10" x14ac:dyDescent="0.35">
      <c r="A20">
        <v>16.97</v>
      </c>
      <c r="B20">
        <v>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3.5</v>
      </c>
    </row>
    <row r="21" spans="1:10" x14ac:dyDescent="0.35">
      <c r="A21">
        <v>20.65</v>
      </c>
      <c r="B21">
        <v>3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3.35</v>
      </c>
    </row>
    <row r="22" spans="1:10" x14ac:dyDescent="0.35">
      <c r="A22">
        <v>17.920000000000002</v>
      </c>
      <c r="B22">
        <v>2</v>
      </c>
      <c r="C22">
        <v>1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4.08</v>
      </c>
    </row>
    <row r="23" spans="1:10" x14ac:dyDescent="0.35">
      <c r="A23">
        <v>20.29</v>
      </c>
      <c r="B23">
        <v>2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2.75</v>
      </c>
    </row>
    <row r="24" spans="1:10" x14ac:dyDescent="0.35">
      <c r="A24">
        <v>15.77</v>
      </c>
      <c r="B24">
        <v>2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2.23</v>
      </c>
    </row>
    <row r="25" spans="1:10" x14ac:dyDescent="0.35">
      <c r="A25">
        <v>39.42</v>
      </c>
      <c r="B25">
        <v>4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7.58</v>
      </c>
    </row>
    <row r="26" spans="1:10" x14ac:dyDescent="0.35">
      <c r="A26">
        <v>19.82</v>
      </c>
      <c r="B26">
        <v>2</v>
      </c>
      <c r="C26">
        <v>1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3.18</v>
      </c>
    </row>
    <row r="27" spans="1:10" x14ac:dyDescent="0.35">
      <c r="A27">
        <v>17.809999999999999</v>
      </c>
      <c r="B27">
        <v>4</v>
      </c>
      <c r="C27">
        <v>1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2.34</v>
      </c>
    </row>
    <row r="28" spans="1:10" x14ac:dyDescent="0.35">
      <c r="A28">
        <v>13.37</v>
      </c>
      <c r="B28">
        <v>2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2</v>
      </c>
    </row>
    <row r="29" spans="1:10" x14ac:dyDescent="0.35">
      <c r="A29">
        <v>12.69</v>
      </c>
      <c r="B29">
        <v>2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2</v>
      </c>
    </row>
    <row r="30" spans="1:10" x14ac:dyDescent="0.35">
      <c r="A30">
        <v>21.7</v>
      </c>
      <c r="B30">
        <v>2</v>
      </c>
      <c r="C30">
        <v>1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4.3</v>
      </c>
    </row>
    <row r="31" spans="1:10" x14ac:dyDescent="0.35">
      <c r="A31">
        <v>19.649999999999999</v>
      </c>
      <c r="B31">
        <v>2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3</v>
      </c>
    </row>
    <row r="32" spans="1:10" x14ac:dyDescent="0.35">
      <c r="A32">
        <v>9.5500000000000007</v>
      </c>
      <c r="B32">
        <v>2</v>
      </c>
      <c r="C32">
        <v>1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1.45</v>
      </c>
    </row>
    <row r="33" spans="1:10" x14ac:dyDescent="0.35">
      <c r="A33">
        <v>18.350000000000001</v>
      </c>
      <c r="B33">
        <v>4</v>
      </c>
      <c r="C33">
        <v>1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2.5</v>
      </c>
    </row>
    <row r="34" spans="1:10" x14ac:dyDescent="0.35">
      <c r="A34">
        <v>15.06</v>
      </c>
      <c r="B34">
        <v>2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3</v>
      </c>
    </row>
    <row r="35" spans="1:10" x14ac:dyDescent="0.35">
      <c r="A35">
        <v>20.69</v>
      </c>
      <c r="B35">
        <v>4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2.4500000000000002</v>
      </c>
    </row>
    <row r="36" spans="1:10" x14ac:dyDescent="0.35">
      <c r="A36">
        <v>17.78</v>
      </c>
      <c r="B36">
        <v>2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3.27</v>
      </c>
    </row>
    <row r="37" spans="1:10" x14ac:dyDescent="0.35">
      <c r="A37">
        <v>24.06</v>
      </c>
      <c r="B37">
        <v>3</v>
      </c>
      <c r="C37">
        <v>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3.6</v>
      </c>
    </row>
    <row r="38" spans="1:10" x14ac:dyDescent="0.35">
      <c r="A38">
        <v>16.309999999999999</v>
      </c>
      <c r="B38">
        <v>3</v>
      </c>
      <c r="C38">
        <v>1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2</v>
      </c>
    </row>
    <row r="39" spans="1:10" x14ac:dyDescent="0.35">
      <c r="A39">
        <v>16.93</v>
      </c>
      <c r="B39">
        <v>3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3.07</v>
      </c>
    </row>
    <row r="40" spans="1:10" x14ac:dyDescent="0.35">
      <c r="A40">
        <v>18.690000000000001</v>
      </c>
      <c r="B40">
        <v>3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0</v>
      </c>
      <c r="J40">
        <v>2.31</v>
      </c>
    </row>
    <row r="41" spans="1:10" x14ac:dyDescent="0.35">
      <c r="A41">
        <v>31.27</v>
      </c>
      <c r="B41">
        <v>3</v>
      </c>
      <c r="C41">
        <v>1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5</v>
      </c>
    </row>
    <row r="42" spans="1:10" x14ac:dyDescent="0.35">
      <c r="A42">
        <v>16.04</v>
      </c>
      <c r="B42">
        <v>3</v>
      </c>
      <c r="C42">
        <v>1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2.2400000000000002</v>
      </c>
    </row>
    <row r="43" spans="1:10" x14ac:dyDescent="0.35">
      <c r="A43">
        <v>17.46</v>
      </c>
      <c r="B43">
        <v>2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2.54</v>
      </c>
    </row>
    <row r="44" spans="1:10" x14ac:dyDescent="0.35">
      <c r="A44">
        <v>13.94</v>
      </c>
      <c r="B44">
        <v>2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3.06</v>
      </c>
    </row>
    <row r="45" spans="1:10" x14ac:dyDescent="0.35">
      <c r="A45">
        <v>9.68</v>
      </c>
      <c r="B45">
        <v>2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1.32</v>
      </c>
    </row>
    <row r="46" spans="1:10" x14ac:dyDescent="0.35">
      <c r="A46">
        <v>30.4</v>
      </c>
      <c r="B46">
        <v>4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5.6</v>
      </c>
    </row>
    <row r="47" spans="1:10" x14ac:dyDescent="0.35">
      <c r="A47">
        <v>18.29</v>
      </c>
      <c r="B47">
        <v>2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3</v>
      </c>
    </row>
    <row r="48" spans="1:10" x14ac:dyDescent="0.35">
      <c r="A48">
        <v>22.23</v>
      </c>
      <c r="B48">
        <v>2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5</v>
      </c>
    </row>
    <row r="49" spans="1:10" x14ac:dyDescent="0.35">
      <c r="A49">
        <v>32.4</v>
      </c>
      <c r="B49">
        <v>4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6</v>
      </c>
    </row>
    <row r="50" spans="1:10" x14ac:dyDescent="0.35">
      <c r="A50">
        <v>28.55</v>
      </c>
      <c r="B50">
        <v>3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2.0499999999999998</v>
      </c>
    </row>
    <row r="51" spans="1:10" x14ac:dyDescent="0.35">
      <c r="A51">
        <v>18.04</v>
      </c>
      <c r="B51">
        <v>2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3</v>
      </c>
    </row>
    <row r="52" spans="1:10" x14ac:dyDescent="0.35">
      <c r="A52">
        <v>12.54</v>
      </c>
      <c r="B52">
        <v>2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2.5</v>
      </c>
    </row>
    <row r="53" spans="1:10" x14ac:dyDescent="0.35">
      <c r="A53">
        <v>10.29</v>
      </c>
      <c r="B53">
        <v>2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2.6</v>
      </c>
    </row>
    <row r="54" spans="1:10" x14ac:dyDescent="0.35">
      <c r="A54">
        <v>34.81</v>
      </c>
      <c r="B54">
        <v>4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5.2</v>
      </c>
    </row>
    <row r="55" spans="1:10" x14ac:dyDescent="0.35">
      <c r="A55">
        <v>9.94</v>
      </c>
      <c r="B55">
        <v>2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1.56</v>
      </c>
    </row>
    <row r="56" spans="1:10" x14ac:dyDescent="0.35">
      <c r="A56">
        <v>25.56</v>
      </c>
      <c r="B56">
        <v>4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4.34</v>
      </c>
    </row>
    <row r="57" spans="1:10" x14ac:dyDescent="0.35">
      <c r="A57">
        <v>19.489999999999998</v>
      </c>
      <c r="B57">
        <v>2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3.51</v>
      </c>
    </row>
    <row r="58" spans="1:10" x14ac:dyDescent="0.35">
      <c r="A58">
        <v>38.01</v>
      </c>
      <c r="B58">
        <v>4</v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0</v>
      </c>
      <c r="J58">
        <v>3</v>
      </c>
    </row>
    <row r="59" spans="1:10" x14ac:dyDescent="0.35">
      <c r="A59">
        <v>26.41</v>
      </c>
      <c r="B59">
        <v>2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1.5</v>
      </c>
    </row>
    <row r="60" spans="1:10" x14ac:dyDescent="0.35">
      <c r="A60">
        <v>11.24</v>
      </c>
      <c r="B60">
        <v>2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J60">
        <v>1.76</v>
      </c>
    </row>
    <row r="61" spans="1:10" x14ac:dyDescent="0.35">
      <c r="A61">
        <v>48.27</v>
      </c>
      <c r="B61">
        <v>4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6.73</v>
      </c>
    </row>
    <row r="62" spans="1:10" x14ac:dyDescent="0.35">
      <c r="A62">
        <v>20.29</v>
      </c>
      <c r="B62">
        <v>2</v>
      </c>
      <c r="C62">
        <v>1</v>
      </c>
      <c r="D62">
        <v>1</v>
      </c>
      <c r="E62">
        <v>1</v>
      </c>
      <c r="F62">
        <v>0</v>
      </c>
      <c r="G62">
        <v>0</v>
      </c>
      <c r="H62">
        <v>1</v>
      </c>
      <c r="I62">
        <v>0</v>
      </c>
      <c r="J62">
        <v>3.21</v>
      </c>
    </row>
    <row r="63" spans="1:10" x14ac:dyDescent="0.35">
      <c r="A63">
        <v>13.81</v>
      </c>
      <c r="B63">
        <v>2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2</v>
      </c>
    </row>
    <row r="64" spans="1:10" x14ac:dyDescent="0.35">
      <c r="A64">
        <v>11.02</v>
      </c>
      <c r="B64">
        <v>2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1.98</v>
      </c>
    </row>
    <row r="65" spans="1:10" x14ac:dyDescent="0.35">
      <c r="A65">
        <v>18.29</v>
      </c>
      <c r="B65">
        <v>4</v>
      </c>
      <c r="C65">
        <v>1</v>
      </c>
      <c r="D65">
        <v>1</v>
      </c>
      <c r="E65">
        <v>1</v>
      </c>
      <c r="F65">
        <v>0</v>
      </c>
      <c r="G65">
        <v>0</v>
      </c>
      <c r="H65">
        <v>1</v>
      </c>
      <c r="I65">
        <v>0</v>
      </c>
      <c r="J65">
        <v>3.76</v>
      </c>
    </row>
    <row r="66" spans="1:10" x14ac:dyDescent="0.35">
      <c r="A66">
        <v>17.59</v>
      </c>
      <c r="B66">
        <v>3</v>
      </c>
      <c r="C66">
        <v>1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2.64</v>
      </c>
    </row>
    <row r="67" spans="1:10" x14ac:dyDescent="0.35">
      <c r="A67">
        <v>20.079999999999998</v>
      </c>
      <c r="B67">
        <v>3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3.15</v>
      </c>
    </row>
    <row r="68" spans="1:10" x14ac:dyDescent="0.35">
      <c r="A68">
        <v>16.45</v>
      </c>
      <c r="B68">
        <v>2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2.4700000000000002</v>
      </c>
    </row>
    <row r="69" spans="1:10" x14ac:dyDescent="0.35">
      <c r="A69">
        <v>3.07</v>
      </c>
      <c r="B69">
        <v>1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0</v>
      </c>
      <c r="J69">
        <v>1</v>
      </c>
    </row>
    <row r="70" spans="1:10" x14ac:dyDescent="0.35">
      <c r="A70">
        <v>20.23</v>
      </c>
      <c r="B70">
        <v>2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2.0099999999999998</v>
      </c>
    </row>
    <row r="71" spans="1:10" x14ac:dyDescent="0.35">
      <c r="A71">
        <v>15.01</v>
      </c>
      <c r="B71">
        <v>2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2.09</v>
      </c>
    </row>
    <row r="72" spans="1:10" x14ac:dyDescent="0.35">
      <c r="A72">
        <v>12.02</v>
      </c>
      <c r="B72">
        <v>2</v>
      </c>
      <c r="C72">
        <v>1</v>
      </c>
      <c r="D72">
        <v>0</v>
      </c>
      <c r="E72">
        <v>1</v>
      </c>
      <c r="F72">
        <v>0</v>
      </c>
      <c r="G72">
        <v>0</v>
      </c>
      <c r="H72">
        <v>1</v>
      </c>
      <c r="I72">
        <v>0</v>
      </c>
      <c r="J72">
        <v>1.97</v>
      </c>
    </row>
    <row r="73" spans="1:10" x14ac:dyDescent="0.35">
      <c r="A73">
        <v>17.07</v>
      </c>
      <c r="B73">
        <v>3</v>
      </c>
      <c r="C73">
        <v>0</v>
      </c>
      <c r="D73">
        <v>0</v>
      </c>
      <c r="E73">
        <v>1</v>
      </c>
      <c r="F73">
        <v>0</v>
      </c>
      <c r="G73">
        <v>0</v>
      </c>
      <c r="H73">
        <v>1</v>
      </c>
      <c r="I73">
        <v>0</v>
      </c>
      <c r="J73">
        <v>3</v>
      </c>
    </row>
    <row r="74" spans="1:10" x14ac:dyDescent="0.35">
      <c r="A74">
        <v>26.86</v>
      </c>
      <c r="B74">
        <v>2</v>
      </c>
      <c r="C74">
        <v>0</v>
      </c>
      <c r="D74">
        <v>1</v>
      </c>
      <c r="E74">
        <v>1</v>
      </c>
      <c r="F74">
        <v>0</v>
      </c>
      <c r="G74">
        <v>0</v>
      </c>
      <c r="H74">
        <v>1</v>
      </c>
      <c r="I74">
        <v>0</v>
      </c>
      <c r="J74">
        <v>3.14</v>
      </c>
    </row>
    <row r="75" spans="1:10" x14ac:dyDescent="0.35">
      <c r="A75">
        <v>25.28</v>
      </c>
      <c r="B75">
        <v>2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0</v>
      </c>
      <c r="J75">
        <v>5</v>
      </c>
    </row>
    <row r="76" spans="1:10" x14ac:dyDescent="0.35">
      <c r="A76">
        <v>14.73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2.2000000000000002</v>
      </c>
    </row>
    <row r="77" spans="1:10" x14ac:dyDescent="0.35">
      <c r="A77">
        <v>10.51</v>
      </c>
      <c r="B77">
        <v>2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1.25</v>
      </c>
    </row>
    <row r="78" spans="1:10" x14ac:dyDescent="0.35">
      <c r="A78">
        <v>17.920000000000002</v>
      </c>
      <c r="B78">
        <v>2</v>
      </c>
      <c r="C78">
        <v>1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3.08</v>
      </c>
    </row>
    <row r="79" spans="1:10" x14ac:dyDescent="0.35">
      <c r="A79">
        <v>27.2</v>
      </c>
      <c r="B79">
        <v>4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4</v>
      </c>
    </row>
    <row r="80" spans="1:10" x14ac:dyDescent="0.35">
      <c r="A80">
        <v>22.76</v>
      </c>
      <c r="B80">
        <v>2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3</v>
      </c>
    </row>
    <row r="81" spans="1:10" x14ac:dyDescent="0.35">
      <c r="A81">
        <v>17.29</v>
      </c>
      <c r="B81">
        <v>2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2.71</v>
      </c>
    </row>
    <row r="82" spans="1:10" x14ac:dyDescent="0.35">
      <c r="A82">
        <v>19.440000000000001</v>
      </c>
      <c r="B82">
        <v>2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3</v>
      </c>
    </row>
    <row r="83" spans="1:10" x14ac:dyDescent="0.35">
      <c r="A83">
        <v>16.66</v>
      </c>
      <c r="B83">
        <v>2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3.4</v>
      </c>
    </row>
    <row r="84" spans="1:10" x14ac:dyDescent="0.35">
      <c r="A84">
        <v>10.07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1.83</v>
      </c>
    </row>
    <row r="85" spans="1:10" x14ac:dyDescent="0.35">
      <c r="A85">
        <v>32.68</v>
      </c>
      <c r="B85">
        <v>2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5</v>
      </c>
    </row>
    <row r="86" spans="1:10" x14ac:dyDescent="0.35">
      <c r="A86">
        <v>15.98</v>
      </c>
      <c r="B86">
        <v>2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2.0299999999999998</v>
      </c>
    </row>
    <row r="87" spans="1:10" x14ac:dyDescent="0.35">
      <c r="A87">
        <v>34.83</v>
      </c>
      <c r="B87">
        <v>4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5.17</v>
      </c>
    </row>
    <row r="88" spans="1:10" x14ac:dyDescent="0.35">
      <c r="A88">
        <v>13.03</v>
      </c>
      <c r="B88">
        <v>2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2</v>
      </c>
    </row>
    <row r="89" spans="1:10" x14ac:dyDescent="0.35">
      <c r="A89">
        <v>18.28</v>
      </c>
      <c r="B89">
        <v>2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4</v>
      </c>
    </row>
    <row r="90" spans="1:10" x14ac:dyDescent="0.35">
      <c r="A90">
        <v>24.71</v>
      </c>
      <c r="B90">
        <v>2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5.85</v>
      </c>
    </row>
    <row r="91" spans="1:10" x14ac:dyDescent="0.35">
      <c r="A91">
        <v>21.16</v>
      </c>
      <c r="B91">
        <v>2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3</v>
      </c>
    </row>
    <row r="92" spans="1:10" x14ac:dyDescent="0.35">
      <c r="A92">
        <v>28.97</v>
      </c>
      <c r="B92">
        <v>2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  <c r="J92">
        <v>3</v>
      </c>
    </row>
    <row r="93" spans="1:10" x14ac:dyDescent="0.35">
      <c r="A93">
        <v>22.49</v>
      </c>
      <c r="B93">
        <v>2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3.5</v>
      </c>
    </row>
    <row r="94" spans="1:10" x14ac:dyDescent="0.35">
      <c r="A94">
        <v>5.75</v>
      </c>
      <c r="B94">
        <v>2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1</v>
      </c>
    </row>
    <row r="95" spans="1:10" x14ac:dyDescent="0.35">
      <c r="A95">
        <v>16.32</v>
      </c>
      <c r="B95">
        <v>2</v>
      </c>
      <c r="C95">
        <v>0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4.3</v>
      </c>
    </row>
    <row r="96" spans="1:10" x14ac:dyDescent="0.35">
      <c r="A96">
        <v>22.75</v>
      </c>
      <c r="B96">
        <v>2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0</v>
      </c>
      <c r="J96">
        <v>3.25</v>
      </c>
    </row>
    <row r="97" spans="1:10" x14ac:dyDescent="0.35">
      <c r="A97">
        <v>40.17</v>
      </c>
      <c r="B97">
        <v>4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4.7300000000000004</v>
      </c>
    </row>
    <row r="98" spans="1:10" x14ac:dyDescent="0.35">
      <c r="A98">
        <v>27.28</v>
      </c>
      <c r="B98">
        <v>2</v>
      </c>
      <c r="C98">
        <v>1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4</v>
      </c>
    </row>
    <row r="99" spans="1:10" x14ac:dyDescent="0.35">
      <c r="A99">
        <v>12.03</v>
      </c>
      <c r="B99">
        <v>2</v>
      </c>
      <c r="C99">
        <v>1</v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1.5</v>
      </c>
    </row>
    <row r="100" spans="1:10" x14ac:dyDescent="0.35">
      <c r="A100">
        <v>21.01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3</v>
      </c>
    </row>
    <row r="101" spans="1:10" x14ac:dyDescent="0.35">
      <c r="A101">
        <v>12.46</v>
      </c>
      <c r="B101">
        <v>2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1.5</v>
      </c>
    </row>
    <row r="102" spans="1:10" x14ac:dyDescent="0.35">
      <c r="A102">
        <v>11.35</v>
      </c>
      <c r="B102">
        <v>2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2.5</v>
      </c>
    </row>
    <row r="103" spans="1:10" x14ac:dyDescent="0.35">
      <c r="A103">
        <v>15.38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3</v>
      </c>
    </row>
    <row r="104" spans="1:10" x14ac:dyDescent="0.35">
      <c r="A104">
        <v>44.3</v>
      </c>
      <c r="B104">
        <v>3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2.5</v>
      </c>
    </row>
    <row r="105" spans="1:10" x14ac:dyDescent="0.35">
      <c r="A105">
        <v>22.42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3.48</v>
      </c>
    </row>
    <row r="106" spans="1:10" x14ac:dyDescent="0.35">
      <c r="A106">
        <v>20.92</v>
      </c>
      <c r="B106">
        <v>2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4.08</v>
      </c>
    </row>
    <row r="107" spans="1:10" x14ac:dyDescent="0.35">
      <c r="A107">
        <v>15.36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1.64</v>
      </c>
    </row>
    <row r="108" spans="1:10" x14ac:dyDescent="0.35">
      <c r="A108">
        <v>20.49</v>
      </c>
      <c r="B108">
        <v>2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4.0599999999999996</v>
      </c>
    </row>
    <row r="109" spans="1:10" x14ac:dyDescent="0.35">
      <c r="A109">
        <v>25.21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4.29</v>
      </c>
    </row>
    <row r="110" spans="1:10" x14ac:dyDescent="0.35">
      <c r="A110">
        <v>18.239999999999998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3.76</v>
      </c>
    </row>
    <row r="111" spans="1:10" x14ac:dyDescent="0.35">
      <c r="A111">
        <v>14.31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4</v>
      </c>
    </row>
    <row r="112" spans="1:10" x14ac:dyDescent="0.35">
      <c r="A112">
        <v>14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3</v>
      </c>
    </row>
    <row r="113" spans="1:10" x14ac:dyDescent="0.35">
      <c r="A113">
        <v>7.25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1</v>
      </c>
    </row>
    <row r="114" spans="1:10" x14ac:dyDescent="0.35">
      <c r="A114">
        <v>38.07</v>
      </c>
      <c r="B114">
        <v>3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4</v>
      </c>
    </row>
    <row r="115" spans="1:10" x14ac:dyDescent="0.35">
      <c r="A115">
        <v>23.95</v>
      </c>
      <c r="B115">
        <v>2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2.5499999999999998</v>
      </c>
    </row>
    <row r="116" spans="1:10" x14ac:dyDescent="0.35">
      <c r="A116">
        <v>25.71</v>
      </c>
      <c r="B116">
        <v>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4</v>
      </c>
    </row>
    <row r="117" spans="1:10" x14ac:dyDescent="0.35">
      <c r="A117">
        <v>17.309999999999999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3.5</v>
      </c>
    </row>
    <row r="118" spans="1:10" x14ac:dyDescent="0.35">
      <c r="A118">
        <v>29.93</v>
      </c>
      <c r="B118">
        <v>4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5.07</v>
      </c>
    </row>
    <row r="119" spans="1:10" x14ac:dyDescent="0.35">
      <c r="A119">
        <v>10.65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1.5</v>
      </c>
    </row>
    <row r="120" spans="1:10" x14ac:dyDescent="0.35">
      <c r="A120">
        <v>12.43</v>
      </c>
      <c r="B120">
        <v>2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1.8</v>
      </c>
    </row>
    <row r="121" spans="1:10" x14ac:dyDescent="0.35">
      <c r="A121">
        <v>24.08</v>
      </c>
      <c r="B121">
        <v>4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2.92</v>
      </c>
    </row>
    <row r="122" spans="1:10" x14ac:dyDescent="0.35">
      <c r="A122">
        <v>11.69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2.31</v>
      </c>
    </row>
    <row r="123" spans="1:10" x14ac:dyDescent="0.35">
      <c r="A123">
        <v>13.42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1.68</v>
      </c>
    </row>
    <row r="124" spans="1:10" x14ac:dyDescent="0.35">
      <c r="A124">
        <v>14.26</v>
      </c>
      <c r="B124">
        <v>2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2.5</v>
      </c>
    </row>
    <row r="125" spans="1:10" x14ac:dyDescent="0.35">
      <c r="A125">
        <v>15.95</v>
      </c>
      <c r="B125">
        <v>2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2</v>
      </c>
    </row>
    <row r="126" spans="1:10" x14ac:dyDescent="0.35">
      <c r="A126">
        <v>12.48</v>
      </c>
      <c r="B126">
        <v>2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2.52</v>
      </c>
    </row>
    <row r="127" spans="1:10" x14ac:dyDescent="0.35">
      <c r="A127">
        <v>29.8</v>
      </c>
      <c r="B127">
        <v>6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4.2</v>
      </c>
    </row>
    <row r="128" spans="1:10" x14ac:dyDescent="0.35">
      <c r="A128">
        <v>8.52</v>
      </c>
      <c r="B128">
        <v>2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1.48</v>
      </c>
    </row>
    <row r="129" spans="1:10" x14ac:dyDescent="0.35">
      <c r="A129">
        <v>14.52</v>
      </c>
      <c r="B129">
        <v>2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2</v>
      </c>
    </row>
    <row r="130" spans="1:10" x14ac:dyDescent="0.35">
      <c r="A130">
        <v>11.38</v>
      </c>
      <c r="B130">
        <v>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2</v>
      </c>
    </row>
    <row r="131" spans="1:10" x14ac:dyDescent="0.35">
      <c r="A131">
        <v>22.82</v>
      </c>
      <c r="B131">
        <v>3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2.1800000000000002</v>
      </c>
    </row>
    <row r="132" spans="1:10" x14ac:dyDescent="0.35">
      <c r="A132">
        <v>19.079999999999998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1.5</v>
      </c>
    </row>
    <row r="133" spans="1:10" x14ac:dyDescent="0.35">
      <c r="A133">
        <v>20.27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2.83</v>
      </c>
    </row>
    <row r="134" spans="1:10" x14ac:dyDescent="0.35">
      <c r="A134">
        <v>11.17</v>
      </c>
      <c r="B134">
        <v>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1.5</v>
      </c>
    </row>
    <row r="135" spans="1:10" x14ac:dyDescent="0.35">
      <c r="A135">
        <v>12.26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2</v>
      </c>
    </row>
    <row r="136" spans="1:10" x14ac:dyDescent="0.35">
      <c r="A136">
        <v>18.260000000000002</v>
      </c>
      <c r="B136">
        <v>2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3.25</v>
      </c>
    </row>
    <row r="137" spans="1:10" x14ac:dyDescent="0.35">
      <c r="A137">
        <v>8.51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1.25</v>
      </c>
    </row>
    <row r="138" spans="1:10" x14ac:dyDescent="0.35">
      <c r="A138">
        <v>10.33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2</v>
      </c>
    </row>
    <row r="139" spans="1:10" x14ac:dyDescent="0.35">
      <c r="A139">
        <v>14.15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2</v>
      </c>
    </row>
    <row r="140" spans="1:10" x14ac:dyDescent="0.35">
      <c r="A140">
        <v>16</v>
      </c>
      <c r="B140">
        <v>2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2</v>
      </c>
    </row>
    <row r="141" spans="1:10" x14ac:dyDescent="0.35">
      <c r="A141">
        <v>13.16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2.75</v>
      </c>
    </row>
    <row r="142" spans="1:10" x14ac:dyDescent="0.35">
      <c r="A142">
        <v>17.47</v>
      </c>
      <c r="B142">
        <v>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3.5</v>
      </c>
    </row>
    <row r="143" spans="1:10" x14ac:dyDescent="0.35">
      <c r="A143">
        <v>34.299999999999997</v>
      </c>
      <c r="B143">
        <v>6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6.7</v>
      </c>
    </row>
    <row r="144" spans="1:10" x14ac:dyDescent="0.35">
      <c r="A144">
        <v>41.19</v>
      </c>
      <c r="B144">
        <v>5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5</v>
      </c>
    </row>
    <row r="145" spans="1:10" x14ac:dyDescent="0.35">
      <c r="A145">
        <v>27.05</v>
      </c>
      <c r="B145">
        <v>6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5</v>
      </c>
    </row>
    <row r="146" spans="1:10" x14ac:dyDescent="0.35">
      <c r="A146">
        <v>16.43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2.2999999999999998</v>
      </c>
    </row>
    <row r="147" spans="1:10" x14ac:dyDescent="0.35">
      <c r="A147">
        <v>8.35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1.5</v>
      </c>
    </row>
    <row r="148" spans="1:10" x14ac:dyDescent="0.35">
      <c r="A148">
        <v>18.64</v>
      </c>
      <c r="B148">
        <v>3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1.36</v>
      </c>
    </row>
    <row r="149" spans="1:10" x14ac:dyDescent="0.35">
      <c r="A149">
        <v>11.87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1.63</v>
      </c>
    </row>
    <row r="150" spans="1:10" x14ac:dyDescent="0.35">
      <c r="A150">
        <v>9.7799999999999994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1.73</v>
      </c>
    </row>
    <row r="151" spans="1:10" x14ac:dyDescent="0.35">
      <c r="A151">
        <v>7.51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2</v>
      </c>
    </row>
    <row r="152" spans="1:10" x14ac:dyDescent="0.35">
      <c r="A152">
        <v>14.07</v>
      </c>
      <c r="B152">
        <v>2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2.5</v>
      </c>
    </row>
    <row r="153" spans="1:10" x14ac:dyDescent="0.35">
      <c r="A153">
        <v>13.13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2</v>
      </c>
    </row>
    <row r="154" spans="1:10" x14ac:dyDescent="0.35">
      <c r="A154">
        <v>17.260000000000002</v>
      </c>
      <c r="B154">
        <v>3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2.74</v>
      </c>
    </row>
    <row r="155" spans="1:10" x14ac:dyDescent="0.35">
      <c r="A155">
        <v>24.55</v>
      </c>
      <c r="B155">
        <v>4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2</v>
      </c>
    </row>
    <row r="156" spans="1:10" x14ac:dyDescent="0.35">
      <c r="A156">
        <v>19.77</v>
      </c>
      <c r="B156">
        <v>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2</v>
      </c>
    </row>
    <row r="157" spans="1:10" x14ac:dyDescent="0.35">
      <c r="A157">
        <v>29.85</v>
      </c>
      <c r="B157">
        <v>5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5.14</v>
      </c>
    </row>
    <row r="158" spans="1:10" x14ac:dyDescent="0.35">
      <c r="A158">
        <v>48.17</v>
      </c>
      <c r="B158">
        <v>6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5</v>
      </c>
    </row>
    <row r="159" spans="1:10" x14ac:dyDescent="0.35">
      <c r="A159">
        <v>25</v>
      </c>
      <c r="B159">
        <v>4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3.75</v>
      </c>
    </row>
    <row r="160" spans="1:10" x14ac:dyDescent="0.35">
      <c r="A160">
        <v>13.39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2.61</v>
      </c>
    </row>
    <row r="161" spans="1:10" x14ac:dyDescent="0.35">
      <c r="A161">
        <v>16.489999999999998</v>
      </c>
      <c r="B161">
        <v>4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2</v>
      </c>
    </row>
    <row r="162" spans="1:10" x14ac:dyDescent="0.35">
      <c r="A162">
        <v>21.5</v>
      </c>
      <c r="B162">
        <v>4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3.5</v>
      </c>
    </row>
    <row r="163" spans="1:10" x14ac:dyDescent="0.35">
      <c r="A163">
        <v>12.66</v>
      </c>
      <c r="B163">
        <v>2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2.5</v>
      </c>
    </row>
    <row r="164" spans="1:10" x14ac:dyDescent="0.35">
      <c r="A164">
        <v>16.21</v>
      </c>
      <c r="B164">
        <v>3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2</v>
      </c>
    </row>
    <row r="165" spans="1:10" x14ac:dyDescent="0.35">
      <c r="A165">
        <v>13.81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2</v>
      </c>
    </row>
    <row r="166" spans="1:10" x14ac:dyDescent="0.35">
      <c r="A166">
        <v>17.510000000000002</v>
      </c>
      <c r="B166">
        <v>2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3</v>
      </c>
    </row>
    <row r="167" spans="1:10" x14ac:dyDescent="0.35">
      <c r="A167">
        <v>24.52</v>
      </c>
      <c r="B167">
        <v>3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3.48</v>
      </c>
    </row>
    <row r="168" spans="1:10" x14ac:dyDescent="0.35">
      <c r="A168">
        <v>20.76</v>
      </c>
      <c r="B168">
        <v>2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2.2400000000000002</v>
      </c>
    </row>
    <row r="169" spans="1:10" x14ac:dyDescent="0.35">
      <c r="A169">
        <v>31.71</v>
      </c>
      <c r="B169">
        <v>4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4.5</v>
      </c>
    </row>
    <row r="170" spans="1:10" x14ac:dyDescent="0.35">
      <c r="A170">
        <v>10.59</v>
      </c>
      <c r="B170">
        <v>2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1.61</v>
      </c>
    </row>
    <row r="171" spans="1:10" x14ac:dyDescent="0.35">
      <c r="A171">
        <v>10.63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2</v>
      </c>
    </row>
    <row r="172" spans="1:10" x14ac:dyDescent="0.35">
      <c r="A172">
        <v>50.81</v>
      </c>
      <c r="B172">
        <v>3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10</v>
      </c>
    </row>
    <row r="173" spans="1:10" x14ac:dyDescent="0.35">
      <c r="A173">
        <v>15.81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3.16</v>
      </c>
    </row>
    <row r="174" spans="1:10" x14ac:dyDescent="0.35">
      <c r="A174">
        <v>7.25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5.15</v>
      </c>
    </row>
    <row r="175" spans="1:10" x14ac:dyDescent="0.35">
      <c r="A175">
        <v>31.85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3.18</v>
      </c>
    </row>
    <row r="176" spans="1:10" x14ac:dyDescent="0.35">
      <c r="A176">
        <v>16.82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4</v>
      </c>
    </row>
    <row r="177" spans="1:10" x14ac:dyDescent="0.35">
      <c r="A177">
        <v>32.9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3.11</v>
      </c>
    </row>
    <row r="178" spans="1:10" x14ac:dyDescent="0.35">
      <c r="A178">
        <v>17.89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2</v>
      </c>
    </row>
    <row r="179" spans="1:10" x14ac:dyDescent="0.35">
      <c r="A179">
        <v>14.48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2</v>
      </c>
    </row>
    <row r="180" spans="1:10" x14ac:dyDescent="0.35">
      <c r="A180">
        <v>9.6</v>
      </c>
      <c r="B180">
        <v>2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4</v>
      </c>
    </row>
    <row r="181" spans="1:10" x14ac:dyDescent="0.35">
      <c r="A181">
        <v>34.630000000000003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3.55</v>
      </c>
    </row>
    <row r="182" spans="1:10" x14ac:dyDescent="0.35">
      <c r="A182">
        <v>34.65</v>
      </c>
      <c r="B182">
        <v>4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3.68</v>
      </c>
    </row>
    <row r="183" spans="1:10" x14ac:dyDescent="0.35">
      <c r="A183">
        <v>23.33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5.65</v>
      </c>
    </row>
    <row r="184" spans="1:10" x14ac:dyDescent="0.35">
      <c r="A184">
        <v>45.35</v>
      </c>
      <c r="B184">
        <v>3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3.5</v>
      </c>
    </row>
    <row r="185" spans="1:10" x14ac:dyDescent="0.35">
      <c r="A185">
        <v>23.17</v>
      </c>
      <c r="B185">
        <v>4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6.5</v>
      </c>
    </row>
    <row r="186" spans="1:10" x14ac:dyDescent="0.35">
      <c r="A186">
        <v>40.549999999999997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3</v>
      </c>
    </row>
    <row r="187" spans="1:10" x14ac:dyDescent="0.35">
      <c r="A187">
        <v>20.69</v>
      </c>
      <c r="B187">
        <v>5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5</v>
      </c>
    </row>
    <row r="188" spans="1:10" x14ac:dyDescent="0.35">
      <c r="A188">
        <v>20.9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3.5</v>
      </c>
    </row>
    <row r="189" spans="1:10" x14ac:dyDescent="0.35">
      <c r="A189">
        <v>30.46</v>
      </c>
      <c r="B189">
        <v>5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2</v>
      </c>
    </row>
    <row r="190" spans="1:10" x14ac:dyDescent="0.35">
      <c r="A190">
        <v>18.149999999999999</v>
      </c>
      <c r="B190">
        <v>3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3.5</v>
      </c>
    </row>
    <row r="191" spans="1:10" x14ac:dyDescent="0.35">
      <c r="A191">
        <v>23.1</v>
      </c>
      <c r="B191">
        <v>3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4</v>
      </c>
    </row>
    <row r="192" spans="1:10" x14ac:dyDescent="0.35">
      <c r="A192">
        <v>15.69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1.5</v>
      </c>
    </row>
    <row r="193" spans="1:10" x14ac:dyDescent="0.35">
      <c r="A193">
        <v>19.809999999999999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4.1900000000000004</v>
      </c>
    </row>
    <row r="194" spans="1:10" x14ac:dyDescent="0.35">
      <c r="A194">
        <v>28.44</v>
      </c>
      <c r="B194">
        <v>2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2.56</v>
      </c>
    </row>
    <row r="195" spans="1:10" x14ac:dyDescent="0.35">
      <c r="A195">
        <v>15.48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2.02</v>
      </c>
    </row>
    <row r="196" spans="1:10" x14ac:dyDescent="0.35">
      <c r="A196">
        <v>16.579999999999998</v>
      </c>
      <c r="B196">
        <v>2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4</v>
      </c>
    </row>
    <row r="197" spans="1:10" x14ac:dyDescent="0.35">
      <c r="A197">
        <v>7.56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1.44</v>
      </c>
    </row>
    <row r="198" spans="1:10" x14ac:dyDescent="0.35">
      <c r="A198">
        <v>10.34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2</v>
      </c>
    </row>
    <row r="199" spans="1:10" x14ac:dyDescent="0.35">
      <c r="A199">
        <v>43.11</v>
      </c>
      <c r="B199">
        <v>4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5</v>
      </c>
    </row>
    <row r="200" spans="1:10" x14ac:dyDescent="0.35">
      <c r="A200">
        <v>13</v>
      </c>
      <c r="B200">
        <v>2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2</v>
      </c>
    </row>
    <row r="201" spans="1:10" x14ac:dyDescent="0.35">
      <c r="A201">
        <v>13.51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2</v>
      </c>
    </row>
    <row r="202" spans="1:10" x14ac:dyDescent="0.35">
      <c r="A202">
        <v>18.71</v>
      </c>
      <c r="B202">
        <v>3</v>
      </c>
      <c r="C202">
        <v>1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4</v>
      </c>
    </row>
    <row r="203" spans="1:10" x14ac:dyDescent="0.35">
      <c r="A203">
        <v>12.74</v>
      </c>
      <c r="B203">
        <v>2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2.0099999999999998</v>
      </c>
    </row>
    <row r="204" spans="1:10" x14ac:dyDescent="0.35">
      <c r="A204">
        <v>13</v>
      </c>
      <c r="B204">
        <v>2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2</v>
      </c>
    </row>
    <row r="205" spans="1:10" x14ac:dyDescent="0.35">
      <c r="A205">
        <v>16.399999999999999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2.5</v>
      </c>
    </row>
    <row r="206" spans="1:10" x14ac:dyDescent="0.35">
      <c r="A206">
        <v>20.53</v>
      </c>
      <c r="B206">
        <v>4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4</v>
      </c>
    </row>
    <row r="207" spans="1:10" x14ac:dyDescent="0.35">
      <c r="A207">
        <v>16.47</v>
      </c>
      <c r="B207">
        <v>3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3.23</v>
      </c>
    </row>
    <row r="208" spans="1:10" x14ac:dyDescent="0.35">
      <c r="A208">
        <v>26.59</v>
      </c>
      <c r="B208">
        <v>3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3.41</v>
      </c>
    </row>
    <row r="209" spans="1:10" x14ac:dyDescent="0.35">
      <c r="A209">
        <v>38.729999999999997</v>
      </c>
      <c r="B209">
        <v>4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3</v>
      </c>
    </row>
    <row r="210" spans="1:10" x14ac:dyDescent="0.35">
      <c r="A210">
        <v>24.27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2.0299999999999998</v>
      </c>
    </row>
    <row r="211" spans="1:10" x14ac:dyDescent="0.35">
      <c r="A211">
        <v>12.76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2.23</v>
      </c>
    </row>
    <row r="212" spans="1:10" x14ac:dyDescent="0.35">
      <c r="A212">
        <v>30.06</v>
      </c>
      <c r="B212">
        <v>3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2</v>
      </c>
    </row>
    <row r="213" spans="1:10" x14ac:dyDescent="0.35">
      <c r="A213">
        <v>25.89</v>
      </c>
      <c r="B213">
        <v>4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5.16</v>
      </c>
    </row>
    <row r="214" spans="1:10" x14ac:dyDescent="0.35">
      <c r="A214">
        <v>48.33</v>
      </c>
      <c r="B214">
        <v>4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9</v>
      </c>
    </row>
    <row r="215" spans="1:10" x14ac:dyDescent="0.35">
      <c r="A215">
        <v>13.27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2.5</v>
      </c>
    </row>
    <row r="216" spans="1:10" x14ac:dyDescent="0.35">
      <c r="A216">
        <v>28.17</v>
      </c>
      <c r="B216">
        <v>3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6.5</v>
      </c>
    </row>
    <row r="217" spans="1:10" x14ac:dyDescent="0.35">
      <c r="A217">
        <v>12.9</v>
      </c>
      <c r="B217">
        <v>2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1.1000000000000001</v>
      </c>
    </row>
    <row r="218" spans="1:10" x14ac:dyDescent="0.35">
      <c r="A218">
        <v>28.15</v>
      </c>
      <c r="B218">
        <v>5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3</v>
      </c>
    </row>
    <row r="219" spans="1:10" x14ac:dyDescent="0.35">
      <c r="A219">
        <v>11.59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1.5</v>
      </c>
    </row>
    <row r="220" spans="1:10" x14ac:dyDescent="0.35">
      <c r="A220">
        <v>7.74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1.44</v>
      </c>
    </row>
    <row r="221" spans="1:10" x14ac:dyDescent="0.35">
      <c r="A221">
        <v>30.14</v>
      </c>
      <c r="B221">
        <v>4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3.09</v>
      </c>
    </row>
    <row r="222" spans="1:10" x14ac:dyDescent="0.35">
      <c r="A222">
        <v>12.16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2.2000000000000002</v>
      </c>
    </row>
    <row r="223" spans="1:10" x14ac:dyDescent="0.35">
      <c r="A223">
        <v>13.42</v>
      </c>
      <c r="B223">
        <v>2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3.48</v>
      </c>
    </row>
    <row r="224" spans="1:10" x14ac:dyDescent="0.35">
      <c r="A224">
        <v>8.58</v>
      </c>
      <c r="B224">
        <v>1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1.92</v>
      </c>
    </row>
    <row r="225" spans="1:10" x14ac:dyDescent="0.35">
      <c r="A225">
        <v>15.98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3</v>
      </c>
    </row>
    <row r="226" spans="1:10" x14ac:dyDescent="0.35">
      <c r="A226">
        <v>13.42</v>
      </c>
      <c r="B226">
        <v>2</v>
      </c>
      <c r="C226">
        <v>1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1.58</v>
      </c>
    </row>
    <row r="227" spans="1:10" x14ac:dyDescent="0.35">
      <c r="A227">
        <v>16.27</v>
      </c>
      <c r="B227">
        <v>2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2.5</v>
      </c>
    </row>
    <row r="228" spans="1:10" x14ac:dyDescent="0.35">
      <c r="A228">
        <v>10.09</v>
      </c>
      <c r="B228">
        <v>2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2</v>
      </c>
    </row>
    <row r="229" spans="1:10" x14ac:dyDescent="0.35">
      <c r="A229">
        <v>20.45</v>
      </c>
      <c r="B229">
        <v>4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1</v>
      </c>
      <c r="I229">
        <v>0</v>
      </c>
      <c r="J229">
        <v>3</v>
      </c>
    </row>
    <row r="230" spans="1:10" x14ac:dyDescent="0.35">
      <c r="A230">
        <v>13.28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2.72</v>
      </c>
    </row>
    <row r="231" spans="1:10" x14ac:dyDescent="0.35">
      <c r="A231">
        <v>22.12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2.88</v>
      </c>
    </row>
    <row r="232" spans="1:10" x14ac:dyDescent="0.35">
      <c r="A232">
        <v>24.01</v>
      </c>
      <c r="B232">
        <v>4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2</v>
      </c>
    </row>
    <row r="233" spans="1:10" x14ac:dyDescent="0.35">
      <c r="A233">
        <v>15.69</v>
      </c>
      <c r="B233">
        <v>3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3</v>
      </c>
    </row>
    <row r="234" spans="1:10" x14ac:dyDescent="0.35">
      <c r="A234">
        <v>11.61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3.39</v>
      </c>
    </row>
    <row r="235" spans="1:10" x14ac:dyDescent="0.35">
      <c r="A235">
        <v>10.77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1.47</v>
      </c>
    </row>
    <row r="236" spans="1:10" x14ac:dyDescent="0.35">
      <c r="A236">
        <v>15.53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3</v>
      </c>
    </row>
    <row r="237" spans="1:10" x14ac:dyDescent="0.35">
      <c r="A237">
        <v>10.07</v>
      </c>
      <c r="B237">
        <v>2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1.25</v>
      </c>
    </row>
    <row r="238" spans="1:10" x14ac:dyDescent="0.35">
      <c r="A238">
        <v>12.6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1</v>
      </c>
    </row>
    <row r="239" spans="1:10" x14ac:dyDescent="0.35">
      <c r="A239">
        <v>32.83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1.17</v>
      </c>
    </row>
    <row r="240" spans="1:10" x14ac:dyDescent="0.35">
      <c r="A240">
        <v>35.83</v>
      </c>
      <c r="B240">
        <v>3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4.67</v>
      </c>
    </row>
    <row r="241" spans="1:10" x14ac:dyDescent="0.35">
      <c r="A241">
        <v>29.03</v>
      </c>
      <c r="B241">
        <v>3</v>
      </c>
      <c r="C241">
        <v>1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5.92</v>
      </c>
    </row>
    <row r="242" spans="1:10" x14ac:dyDescent="0.35">
      <c r="A242">
        <v>27.18</v>
      </c>
      <c r="B242">
        <v>2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2</v>
      </c>
    </row>
    <row r="243" spans="1:10" x14ac:dyDescent="0.35">
      <c r="A243">
        <v>22.67</v>
      </c>
      <c r="B243">
        <v>2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2</v>
      </c>
    </row>
    <row r="244" spans="1:10" x14ac:dyDescent="0.35">
      <c r="A244">
        <v>17.82</v>
      </c>
      <c r="B244">
        <v>2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1.75</v>
      </c>
    </row>
    <row r="245" spans="1:10" x14ac:dyDescent="0.35">
      <c r="A245">
        <v>18.78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8394-FEA8-4BC5-83B2-0101F6CF1C7B}">
  <dimension ref="A1:I24"/>
  <sheetViews>
    <sheetView workbookViewId="0">
      <selection activeCell="B24" sqref="B24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33</v>
      </c>
    </row>
    <row r="2" spans="1:9" ht="15" thickBot="1" x14ac:dyDescent="0.4"/>
    <row r="3" spans="1:9" x14ac:dyDescent="0.35">
      <c r="A3" s="4" t="s">
        <v>34</v>
      </c>
      <c r="B3" s="4"/>
    </row>
    <row r="4" spans="1:9" x14ac:dyDescent="0.35">
      <c r="A4" t="s">
        <v>35</v>
      </c>
      <c r="B4">
        <v>0.68548414712753913</v>
      </c>
    </row>
    <row r="5" spans="1:9" x14ac:dyDescent="0.35">
      <c r="A5" t="s">
        <v>36</v>
      </c>
      <c r="B5">
        <v>0.46988851596316972</v>
      </c>
    </row>
    <row r="6" spans="1:9" x14ac:dyDescent="0.35">
      <c r="A6" t="s">
        <v>37</v>
      </c>
      <c r="B6">
        <v>0.4541648702502129</v>
      </c>
    </row>
    <row r="7" spans="1:9" x14ac:dyDescent="0.35">
      <c r="A7" t="s">
        <v>38</v>
      </c>
      <c r="B7">
        <v>1.0222409675643565</v>
      </c>
    </row>
    <row r="8" spans="1:9" ht="15" thickBot="1" x14ac:dyDescent="0.4">
      <c r="A8" s="2" t="s">
        <v>39</v>
      </c>
      <c r="B8" s="2">
        <v>244</v>
      </c>
    </row>
    <row r="10" spans="1:9" ht="15" thickBot="1" x14ac:dyDescent="0.4">
      <c r="A10" t="s">
        <v>40</v>
      </c>
    </row>
    <row r="11" spans="1:9" x14ac:dyDescent="0.35">
      <c r="A11" s="3"/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 spans="1:9" x14ac:dyDescent="0.35">
      <c r="A12" t="s">
        <v>41</v>
      </c>
      <c r="B12">
        <v>7</v>
      </c>
      <c r="C12">
        <v>218.59800044818974</v>
      </c>
      <c r="D12">
        <v>31.22828577831282</v>
      </c>
      <c r="E12">
        <v>29.884196358861306</v>
      </c>
      <c r="F12">
        <v>2.1864005654707938E-29</v>
      </c>
    </row>
    <row r="13" spans="1:9" x14ac:dyDescent="0.35">
      <c r="A13" t="s">
        <v>42</v>
      </c>
      <c r="B13">
        <v>236</v>
      </c>
      <c r="C13">
        <v>246.61447660099111</v>
      </c>
      <c r="D13">
        <v>1.0449765957669115</v>
      </c>
    </row>
    <row r="14" spans="1:9" ht="15" thickBot="1" x14ac:dyDescent="0.4">
      <c r="A14" s="2" t="s">
        <v>43</v>
      </c>
      <c r="B14" s="2">
        <v>243</v>
      </c>
      <c r="C14" s="2">
        <v>465.21247704918085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50</v>
      </c>
      <c r="C16" s="3" t="s">
        <v>38</v>
      </c>
      <c r="D16" s="3" t="s">
        <v>51</v>
      </c>
      <c r="E16" s="3" t="s">
        <v>52</v>
      </c>
      <c r="F16" s="3" t="s">
        <v>53</v>
      </c>
      <c r="G16" s="3" t="s">
        <v>54</v>
      </c>
      <c r="H16" s="3" t="s">
        <v>55</v>
      </c>
      <c r="I16" s="3" t="s">
        <v>56</v>
      </c>
    </row>
    <row r="17" spans="1:9" x14ac:dyDescent="0.35">
      <c r="A17" t="s">
        <v>44</v>
      </c>
      <c r="B17">
        <v>0.71441403951123039</v>
      </c>
      <c r="C17">
        <v>0.2313429129942374</v>
      </c>
      <c r="D17">
        <v>3.0881172466650231</v>
      </c>
      <c r="E17">
        <v>2.2554218356796471E-3</v>
      </c>
      <c r="F17">
        <v>0.25865303492119474</v>
      </c>
      <c r="G17">
        <v>1.1701750441012662</v>
      </c>
      <c r="H17">
        <v>0.25865303492119474</v>
      </c>
      <c r="I17">
        <v>1.1701750441012662</v>
      </c>
    </row>
    <row r="18" spans="1:9" x14ac:dyDescent="0.35">
      <c r="A18" t="s">
        <v>5</v>
      </c>
      <c r="B18">
        <v>9.4228319297373686E-2</v>
      </c>
      <c r="C18">
        <v>9.5412952495443799E-3</v>
      </c>
      <c r="D18">
        <v>9.8758414694140519</v>
      </c>
      <c r="E18">
        <v>1.7826341690190226E-19</v>
      </c>
      <c r="F18">
        <v>7.5431329790585547E-2</v>
      </c>
      <c r="G18">
        <v>0.11302530880416183</v>
      </c>
      <c r="H18">
        <v>7.5431329790585547E-2</v>
      </c>
      <c r="I18">
        <v>0.11302530880416183</v>
      </c>
    </row>
    <row r="19" spans="1:9" x14ac:dyDescent="0.35">
      <c r="A19" t="s">
        <v>4</v>
      </c>
      <c r="B19">
        <v>0.17849652122669499</v>
      </c>
      <c r="C19">
        <v>8.8937053081534337E-2</v>
      </c>
      <c r="D19">
        <v>2.0069983774148183</v>
      </c>
      <c r="E19">
        <v>4.5890417075990633E-2</v>
      </c>
      <c r="F19">
        <v>3.2845809381800983E-3</v>
      </c>
      <c r="G19">
        <v>0.35370846151520985</v>
      </c>
      <c r="H19">
        <v>3.2845809381800983E-3</v>
      </c>
      <c r="I19">
        <v>0.35370846151520985</v>
      </c>
    </row>
    <row r="20" spans="1:9" x14ac:dyDescent="0.35">
      <c r="A20" t="s">
        <v>27</v>
      </c>
      <c r="B20">
        <v>-2.9244614277172079E-2</v>
      </c>
      <c r="C20">
        <v>0.14090827166669653</v>
      </c>
      <c r="D20">
        <v>-0.2075436305566723</v>
      </c>
      <c r="E20">
        <v>0.83576430055326534</v>
      </c>
      <c r="F20">
        <v>-0.30684332961564004</v>
      </c>
      <c r="G20">
        <v>0.24835410106129591</v>
      </c>
      <c r="H20">
        <v>-0.30684332961564004</v>
      </c>
      <c r="I20">
        <v>0.24835410106129591</v>
      </c>
    </row>
    <row r="21" spans="1:9" x14ac:dyDescent="0.35">
      <c r="A21" t="s">
        <v>26</v>
      </c>
      <c r="B21">
        <v>-8.4063202906321216E-2</v>
      </c>
      <c r="C21">
        <v>0.14607951092795426</v>
      </c>
      <c r="D21">
        <v>-0.57546196843293651</v>
      </c>
      <c r="E21">
        <v>0.56552717777738248</v>
      </c>
      <c r="F21">
        <v>-0.37184960530285338</v>
      </c>
      <c r="G21">
        <v>0.20372319949021092</v>
      </c>
      <c r="H21">
        <v>-0.37184960530285338</v>
      </c>
      <c r="I21">
        <v>0.20372319949021092</v>
      </c>
    </row>
    <row r="22" spans="1:9" x14ac:dyDescent="0.35">
      <c r="A22" t="s">
        <v>28</v>
      </c>
      <c r="B22">
        <v>5.0831932127803479E-2</v>
      </c>
      <c r="C22">
        <v>0.17107300357305252</v>
      </c>
      <c r="D22">
        <v>0.29713590728005751</v>
      </c>
      <c r="E22">
        <v>0.76662411723454016</v>
      </c>
      <c r="F22">
        <v>-0.2861933216720885</v>
      </c>
      <c r="G22">
        <v>0.38785718592769541</v>
      </c>
      <c r="H22">
        <v>-0.2861933216720885</v>
      </c>
      <c r="I22">
        <v>0.38785718592769541</v>
      </c>
    </row>
    <row r="23" spans="1:9" x14ac:dyDescent="0.35">
      <c r="A23" t="s">
        <v>30</v>
      </c>
      <c r="B23">
        <v>7.8029405706503976E-2</v>
      </c>
      <c r="C23">
        <v>0.26479855256038898</v>
      </c>
      <c r="D23">
        <v>0.2946745930142835</v>
      </c>
      <c r="E23">
        <v>0.76850151611825401</v>
      </c>
      <c r="F23">
        <v>-0.4436414454421389</v>
      </c>
      <c r="G23">
        <v>0.59970025685514683</v>
      </c>
      <c r="H23">
        <v>-0.4436414454421389</v>
      </c>
      <c r="I23">
        <v>0.59970025685514683</v>
      </c>
    </row>
    <row r="24" spans="1:9" ht="15" thickBot="1" x14ac:dyDescent="0.4">
      <c r="A24" s="2" t="s">
        <v>31</v>
      </c>
      <c r="B24" s="2">
        <v>-8.7203378796239989E-2</v>
      </c>
      <c r="C24" s="2">
        <v>0.16278155919709419</v>
      </c>
      <c r="D24" s="2">
        <v>-0.53570797101565448</v>
      </c>
      <c r="E24" s="2">
        <v>0.59266488782915605</v>
      </c>
      <c r="F24" s="2">
        <v>-0.40789393286671638</v>
      </c>
      <c r="G24" s="2">
        <v>0.23348717527423643</v>
      </c>
      <c r="H24" s="2">
        <v>-0.40789393286671638</v>
      </c>
      <c r="I24" s="2">
        <v>0.23348717527423643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C5E7-E211-4C88-BE7E-8D52D3E2CC7F}">
  <dimension ref="A1:L245"/>
  <sheetViews>
    <sheetView tabSelected="1" workbookViewId="0">
      <selection activeCell="G29" sqref="G29"/>
    </sheetView>
  </sheetViews>
  <sheetFormatPr defaultRowHeight="14.5" x14ac:dyDescent="0.35"/>
  <cols>
    <col min="1" max="2" width="13.453125"/>
    <col min="4" max="4" width="10.81640625" bestFit="1" customWidth="1"/>
    <col min="5" max="5" width="11.1796875" bestFit="1" customWidth="1"/>
    <col min="8" max="8" width="13.453125"/>
    <col min="9" max="9" width="11.6328125" bestFit="1" customWidth="1"/>
    <col min="11" max="11" width="15.26953125" bestFit="1" customWidth="1"/>
  </cols>
  <sheetData>
    <row r="1" spans="1:12" x14ac:dyDescent="0.35">
      <c r="A1" t="s">
        <v>5</v>
      </c>
      <c r="B1" t="s">
        <v>4</v>
      </c>
      <c r="C1" t="s">
        <v>27</v>
      </c>
      <c r="D1" t="s">
        <v>26</v>
      </c>
      <c r="E1" t="s">
        <v>28</v>
      </c>
      <c r="F1" t="s">
        <v>30</v>
      </c>
      <c r="G1" t="s">
        <v>31</v>
      </c>
      <c r="H1" t="s">
        <v>57</v>
      </c>
      <c r="I1" t="s">
        <v>58</v>
      </c>
      <c r="J1" t="s">
        <v>42</v>
      </c>
      <c r="K1" t="s">
        <v>68</v>
      </c>
      <c r="L1" t="s">
        <v>69</v>
      </c>
    </row>
    <row r="2" spans="1:12" x14ac:dyDescent="0.35">
      <c r="A2">
        <v>16.989999999999998</v>
      </c>
      <c r="B2">
        <v>2</v>
      </c>
      <c r="C2">
        <v>0</v>
      </c>
      <c r="D2">
        <v>0</v>
      </c>
      <c r="E2">
        <v>1</v>
      </c>
      <c r="F2">
        <v>0</v>
      </c>
      <c r="G2">
        <v>0</v>
      </c>
      <c r="H2">
        <v>1.01</v>
      </c>
      <c r="I2">
        <f>0.71+(0.094*A2)+(0.178*B2)-(0.029*C2)-(0.084*D2)+(0.051*E2)+(0.078*F2)-(0.087*G2)</f>
        <v>2.7140599999999999</v>
      </c>
      <c r="J2">
        <f>I2-H2</f>
        <v>1.7040599999999999</v>
      </c>
      <c r="K2">
        <f>J2^2</f>
        <v>2.9038204835999997</v>
      </c>
      <c r="L2">
        <f>SQRT(AVERAGE(K1:K245))</f>
        <v>1.0053940217621555</v>
      </c>
    </row>
    <row r="3" spans="1:12" x14ac:dyDescent="0.35">
      <c r="A3">
        <v>10.34</v>
      </c>
      <c r="B3">
        <v>3</v>
      </c>
      <c r="C3">
        <v>1</v>
      </c>
      <c r="D3">
        <v>0</v>
      </c>
      <c r="E3">
        <v>1</v>
      </c>
      <c r="F3">
        <v>0</v>
      </c>
      <c r="G3">
        <v>0</v>
      </c>
      <c r="H3">
        <v>1.66</v>
      </c>
      <c r="I3">
        <f t="shared" ref="I3:I66" si="0">0.71+(0.094*A3)+(0.178*B3)-(0.029*C3)-(0.084*D3)+(0.051*E3)+(0.078*F3)-(0.087*G3)</f>
        <v>2.2379600000000002</v>
      </c>
      <c r="J3">
        <f t="shared" ref="J3:J66" si="1">I3-H3</f>
        <v>0.57796000000000025</v>
      </c>
      <c r="K3">
        <f t="shared" ref="K3:K66" si="2">J3^2</f>
        <v>0.33403776160000032</v>
      </c>
    </row>
    <row r="4" spans="1:12" x14ac:dyDescent="0.35">
      <c r="A4">
        <v>21.01</v>
      </c>
      <c r="B4">
        <v>3</v>
      </c>
      <c r="C4">
        <v>1</v>
      </c>
      <c r="D4">
        <v>0</v>
      </c>
      <c r="E4">
        <v>1</v>
      </c>
      <c r="F4">
        <v>0</v>
      </c>
      <c r="G4">
        <v>0</v>
      </c>
      <c r="H4">
        <v>3.5</v>
      </c>
      <c r="I4">
        <f t="shared" si="0"/>
        <v>3.2409400000000002</v>
      </c>
      <c r="J4">
        <f t="shared" si="1"/>
        <v>-0.25905999999999985</v>
      </c>
      <c r="K4">
        <f t="shared" si="2"/>
        <v>6.7112083599999914E-2</v>
      </c>
    </row>
    <row r="5" spans="1:12" x14ac:dyDescent="0.35">
      <c r="A5">
        <v>23.68</v>
      </c>
      <c r="B5">
        <v>2</v>
      </c>
      <c r="C5">
        <v>1</v>
      </c>
      <c r="D5">
        <v>0</v>
      </c>
      <c r="E5">
        <v>1</v>
      </c>
      <c r="F5">
        <v>0</v>
      </c>
      <c r="G5">
        <v>0</v>
      </c>
      <c r="H5">
        <v>3.31</v>
      </c>
      <c r="I5">
        <f t="shared" si="0"/>
        <v>3.31392</v>
      </c>
      <c r="J5">
        <f t="shared" si="1"/>
        <v>3.9199999999999235E-3</v>
      </c>
      <c r="K5">
        <f t="shared" si="2"/>
        <v>1.5366399999999399E-5</v>
      </c>
    </row>
    <row r="6" spans="1:12" x14ac:dyDescent="0.35">
      <c r="A6">
        <v>24.59</v>
      </c>
      <c r="B6">
        <v>4</v>
      </c>
      <c r="C6">
        <v>0</v>
      </c>
      <c r="D6">
        <v>0</v>
      </c>
      <c r="E6">
        <v>1</v>
      </c>
      <c r="F6">
        <v>0</v>
      </c>
      <c r="G6">
        <v>0</v>
      </c>
      <c r="H6">
        <v>3.61</v>
      </c>
      <c r="I6">
        <f t="shared" si="0"/>
        <v>3.7844600000000002</v>
      </c>
      <c r="J6">
        <f t="shared" si="1"/>
        <v>0.17446000000000028</v>
      </c>
      <c r="K6">
        <f t="shared" si="2"/>
        <v>3.0436291600000099E-2</v>
      </c>
    </row>
    <row r="7" spans="1:12" x14ac:dyDescent="0.35">
      <c r="A7">
        <v>25.29</v>
      </c>
      <c r="B7">
        <v>4</v>
      </c>
      <c r="C7">
        <v>1</v>
      </c>
      <c r="D7">
        <v>0</v>
      </c>
      <c r="E7">
        <v>1</v>
      </c>
      <c r="F7">
        <v>0</v>
      </c>
      <c r="G7">
        <v>0</v>
      </c>
      <c r="H7">
        <v>4.71</v>
      </c>
      <c r="I7">
        <f t="shared" si="0"/>
        <v>3.8212599999999997</v>
      </c>
      <c r="J7">
        <f t="shared" si="1"/>
        <v>-0.88874000000000031</v>
      </c>
      <c r="K7">
        <f t="shared" si="2"/>
        <v>0.7898587876000005</v>
      </c>
    </row>
    <row r="8" spans="1:12" x14ac:dyDescent="0.35">
      <c r="A8">
        <v>8.77</v>
      </c>
      <c r="B8">
        <v>2</v>
      </c>
      <c r="C8">
        <v>1</v>
      </c>
      <c r="D8">
        <v>0</v>
      </c>
      <c r="E8">
        <v>1</v>
      </c>
      <c r="F8">
        <v>0</v>
      </c>
      <c r="G8">
        <v>0</v>
      </c>
      <c r="H8">
        <v>2</v>
      </c>
      <c r="I8">
        <f t="shared" si="0"/>
        <v>1.91238</v>
      </c>
      <c r="J8">
        <f t="shared" si="1"/>
        <v>-8.7620000000000031E-2</v>
      </c>
      <c r="K8">
        <f t="shared" si="2"/>
        <v>7.6772644000000058E-3</v>
      </c>
    </row>
    <row r="9" spans="1:12" x14ac:dyDescent="0.35">
      <c r="A9">
        <v>26.88</v>
      </c>
      <c r="B9">
        <v>4</v>
      </c>
      <c r="C9">
        <v>1</v>
      </c>
      <c r="D9">
        <v>0</v>
      </c>
      <c r="E9">
        <v>1</v>
      </c>
      <c r="F9">
        <v>0</v>
      </c>
      <c r="G9">
        <v>0</v>
      </c>
      <c r="H9">
        <v>3.12</v>
      </c>
      <c r="I9">
        <f t="shared" si="0"/>
        <v>3.97072</v>
      </c>
      <c r="J9">
        <f t="shared" si="1"/>
        <v>0.85071999999999992</v>
      </c>
      <c r="K9">
        <f t="shared" si="2"/>
        <v>0.72372451839999985</v>
      </c>
    </row>
    <row r="10" spans="1:12" x14ac:dyDescent="0.35">
      <c r="A10">
        <v>15.04</v>
      </c>
      <c r="B10">
        <v>2</v>
      </c>
      <c r="C10">
        <v>1</v>
      </c>
      <c r="D10">
        <v>0</v>
      </c>
      <c r="E10">
        <v>1</v>
      </c>
      <c r="F10">
        <v>0</v>
      </c>
      <c r="G10">
        <v>0</v>
      </c>
      <c r="H10">
        <v>1.96</v>
      </c>
      <c r="I10">
        <f t="shared" si="0"/>
        <v>2.50176</v>
      </c>
      <c r="J10">
        <f t="shared" si="1"/>
        <v>0.54176000000000002</v>
      </c>
      <c r="K10">
        <f t="shared" si="2"/>
        <v>0.29350389760000001</v>
      </c>
    </row>
    <row r="11" spans="1:12" x14ac:dyDescent="0.35">
      <c r="A11">
        <v>14.78</v>
      </c>
      <c r="B11">
        <v>2</v>
      </c>
      <c r="C11">
        <v>1</v>
      </c>
      <c r="D11">
        <v>0</v>
      </c>
      <c r="E11">
        <v>1</v>
      </c>
      <c r="F11">
        <v>0</v>
      </c>
      <c r="G11">
        <v>0</v>
      </c>
      <c r="H11">
        <v>3.23</v>
      </c>
      <c r="I11">
        <f t="shared" si="0"/>
        <v>2.4773199999999997</v>
      </c>
      <c r="J11">
        <f t="shared" si="1"/>
        <v>-0.75268000000000024</v>
      </c>
      <c r="K11">
        <f t="shared" si="2"/>
        <v>0.56652718240000033</v>
      </c>
    </row>
    <row r="12" spans="1:12" x14ac:dyDescent="0.35">
      <c r="A12">
        <v>10.27</v>
      </c>
      <c r="B12">
        <v>2</v>
      </c>
      <c r="C12">
        <v>1</v>
      </c>
      <c r="D12">
        <v>0</v>
      </c>
      <c r="E12">
        <v>1</v>
      </c>
      <c r="F12">
        <v>0</v>
      </c>
      <c r="G12">
        <v>0</v>
      </c>
      <c r="H12">
        <v>1.71</v>
      </c>
      <c r="I12">
        <f t="shared" si="0"/>
        <v>2.0533800000000002</v>
      </c>
      <c r="J12">
        <f t="shared" si="1"/>
        <v>0.34338000000000024</v>
      </c>
      <c r="K12">
        <f t="shared" si="2"/>
        <v>0.11790982440000017</v>
      </c>
    </row>
    <row r="13" spans="1:12" x14ac:dyDescent="0.35">
      <c r="A13">
        <v>35.26</v>
      </c>
      <c r="B13">
        <v>4</v>
      </c>
      <c r="C13">
        <v>0</v>
      </c>
      <c r="D13">
        <v>0</v>
      </c>
      <c r="E13">
        <v>1</v>
      </c>
      <c r="F13">
        <v>0</v>
      </c>
      <c r="G13">
        <v>0</v>
      </c>
      <c r="H13">
        <v>5</v>
      </c>
      <c r="I13">
        <f t="shared" si="0"/>
        <v>4.7874400000000001</v>
      </c>
      <c r="J13">
        <f t="shared" si="1"/>
        <v>-0.21255999999999986</v>
      </c>
      <c r="K13">
        <f t="shared" si="2"/>
        <v>4.5181753599999944E-2</v>
      </c>
    </row>
    <row r="14" spans="1:12" x14ac:dyDescent="0.35">
      <c r="A14">
        <v>15.42</v>
      </c>
      <c r="B14">
        <v>2</v>
      </c>
      <c r="C14">
        <v>1</v>
      </c>
      <c r="D14">
        <v>0</v>
      </c>
      <c r="E14">
        <v>1</v>
      </c>
      <c r="F14">
        <v>0</v>
      </c>
      <c r="G14">
        <v>0</v>
      </c>
      <c r="H14">
        <v>1.57</v>
      </c>
      <c r="I14">
        <f t="shared" si="0"/>
        <v>2.5374800000000004</v>
      </c>
      <c r="J14">
        <f t="shared" si="1"/>
        <v>0.96748000000000034</v>
      </c>
      <c r="K14">
        <f t="shared" si="2"/>
        <v>0.93601755040000068</v>
      </c>
    </row>
    <row r="15" spans="1:12" x14ac:dyDescent="0.35">
      <c r="A15">
        <v>18.43</v>
      </c>
      <c r="B15">
        <v>4</v>
      </c>
      <c r="C15">
        <v>1</v>
      </c>
      <c r="D15">
        <v>0</v>
      </c>
      <c r="E15">
        <v>1</v>
      </c>
      <c r="F15">
        <v>0</v>
      </c>
      <c r="G15">
        <v>0</v>
      </c>
      <c r="H15">
        <v>3</v>
      </c>
      <c r="I15">
        <f t="shared" si="0"/>
        <v>3.1764200000000002</v>
      </c>
      <c r="J15">
        <f t="shared" si="1"/>
        <v>0.17642000000000024</v>
      </c>
      <c r="K15">
        <f t="shared" si="2"/>
        <v>3.1124016400000086E-2</v>
      </c>
    </row>
    <row r="16" spans="1:12" x14ac:dyDescent="0.35">
      <c r="A16">
        <v>14.83</v>
      </c>
      <c r="B16">
        <v>2</v>
      </c>
      <c r="C16">
        <v>0</v>
      </c>
      <c r="D16">
        <v>0</v>
      </c>
      <c r="E16">
        <v>1</v>
      </c>
      <c r="F16">
        <v>0</v>
      </c>
      <c r="G16">
        <v>0</v>
      </c>
      <c r="H16">
        <v>3.02</v>
      </c>
      <c r="I16">
        <f t="shared" si="0"/>
        <v>2.5110200000000003</v>
      </c>
      <c r="J16">
        <f t="shared" si="1"/>
        <v>-0.50897999999999977</v>
      </c>
      <c r="K16">
        <f t="shared" si="2"/>
        <v>0.25906064039999976</v>
      </c>
    </row>
    <row r="17" spans="1:11" x14ac:dyDescent="0.35">
      <c r="A17">
        <v>21.58</v>
      </c>
      <c r="B17">
        <v>2</v>
      </c>
      <c r="C17">
        <v>1</v>
      </c>
      <c r="D17">
        <v>0</v>
      </c>
      <c r="E17">
        <v>1</v>
      </c>
      <c r="F17">
        <v>0</v>
      </c>
      <c r="G17">
        <v>0</v>
      </c>
      <c r="H17">
        <v>3.92</v>
      </c>
      <c r="I17">
        <f t="shared" si="0"/>
        <v>3.11652</v>
      </c>
      <c r="J17">
        <f t="shared" si="1"/>
        <v>-0.80347999999999997</v>
      </c>
      <c r="K17">
        <f t="shared" si="2"/>
        <v>0.64558011039999996</v>
      </c>
    </row>
    <row r="18" spans="1:11" x14ac:dyDescent="0.35">
      <c r="A18">
        <v>10.33</v>
      </c>
      <c r="B18">
        <v>3</v>
      </c>
      <c r="C18">
        <v>0</v>
      </c>
      <c r="D18">
        <v>0</v>
      </c>
      <c r="E18">
        <v>1</v>
      </c>
      <c r="F18">
        <v>0</v>
      </c>
      <c r="G18">
        <v>0</v>
      </c>
      <c r="H18">
        <v>1.67</v>
      </c>
      <c r="I18">
        <f t="shared" si="0"/>
        <v>2.2660200000000001</v>
      </c>
      <c r="J18">
        <f t="shared" si="1"/>
        <v>0.59602000000000022</v>
      </c>
      <c r="K18">
        <f t="shared" si="2"/>
        <v>0.35523984040000028</v>
      </c>
    </row>
    <row r="19" spans="1:11" x14ac:dyDescent="0.35">
      <c r="A19">
        <v>16.29</v>
      </c>
      <c r="B19">
        <v>3</v>
      </c>
      <c r="C19">
        <v>1</v>
      </c>
      <c r="D19">
        <v>0</v>
      </c>
      <c r="E19">
        <v>1</v>
      </c>
      <c r="F19">
        <v>0</v>
      </c>
      <c r="G19">
        <v>0</v>
      </c>
      <c r="H19">
        <v>3.71</v>
      </c>
      <c r="I19">
        <f t="shared" si="0"/>
        <v>2.7972599999999996</v>
      </c>
      <c r="J19">
        <f t="shared" si="1"/>
        <v>-0.91274000000000033</v>
      </c>
      <c r="K19">
        <f t="shared" si="2"/>
        <v>0.83309430760000058</v>
      </c>
    </row>
    <row r="20" spans="1:11" x14ac:dyDescent="0.35">
      <c r="A20">
        <v>16.97</v>
      </c>
      <c r="B20">
        <v>3</v>
      </c>
      <c r="C20">
        <v>0</v>
      </c>
      <c r="D20">
        <v>0</v>
      </c>
      <c r="E20">
        <v>1</v>
      </c>
      <c r="F20">
        <v>0</v>
      </c>
      <c r="G20">
        <v>0</v>
      </c>
      <c r="H20">
        <v>3.5</v>
      </c>
      <c r="I20">
        <f t="shared" si="0"/>
        <v>2.89018</v>
      </c>
      <c r="J20">
        <f t="shared" si="1"/>
        <v>-0.60982000000000003</v>
      </c>
      <c r="K20">
        <f t="shared" si="2"/>
        <v>0.37188043240000002</v>
      </c>
    </row>
    <row r="21" spans="1:11" x14ac:dyDescent="0.35">
      <c r="A21">
        <v>20.65</v>
      </c>
      <c r="B21">
        <v>3</v>
      </c>
      <c r="C21">
        <v>1</v>
      </c>
      <c r="D21">
        <v>0</v>
      </c>
      <c r="E21">
        <v>1</v>
      </c>
      <c r="F21">
        <v>0</v>
      </c>
      <c r="G21">
        <v>1</v>
      </c>
      <c r="H21">
        <v>3.35</v>
      </c>
      <c r="I21">
        <f t="shared" si="0"/>
        <v>3.1200999999999994</v>
      </c>
      <c r="J21">
        <f t="shared" si="1"/>
        <v>-0.22990000000000066</v>
      </c>
      <c r="K21">
        <f t="shared" si="2"/>
        <v>5.2854010000000305E-2</v>
      </c>
    </row>
    <row r="22" spans="1:11" x14ac:dyDescent="0.35">
      <c r="A22">
        <v>17.920000000000002</v>
      </c>
      <c r="B22">
        <v>2</v>
      </c>
      <c r="C22">
        <v>1</v>
      </c>
      <c r="D22">
        <v>0</v>
      </c>
      <c r="E22">
        <v>1</v>
      </c>
      <c r="F22">
        <v>0</v>
      </c>
      <c r="G22">
        <v>1</v>
      </c>
      <c r="H22">
        <v>4.08</v>
      </c>
      <c r="I22">
        <f t="shared" si="0"/>
        <v>2.6854800000000001</v>
      </c>
      <c r="J22">
        <f t="shared" si="1"/>
        <v>-1.39452</v>
      </c>
      <c r="K22">
        <f t="shared" si="2"/>
        <v>1.9446860304</v>
      </c>
    </row>
    <row r="23" spans="1:11" x14ac:dyDescent="0.35">
      <c r="A23">
        <v>20.29</v>
      </c>
      <c r="B23">
        <v>2</v>
      </c>
      <c r="C23">
        <v>0</v>
      </c>
      <c r="D23">
        <v>0</v>
      </c>
      <c r="E23">
        <v>1</v>
      </c>
      <c r="F23">
        <v>0</v>
      </c>
      <c r="G23">
        <v>1</v>
      </c>
      <c r="H23">
        <v>2.75</v>
      </c>
      <c r="I23">
        <f t="shared" si="0"/>
        <v>2.9372599999999998</v>
      </c>
      <c r="J23">
        <f t="shared" si="1"/>
        <v>0.18725999999999976</v>
      </c>
      <c r="K23">
        <f t="shared" si="2"/>
        <v>3.5066307599999909E-2</v>
      </c>
    </row>
    <row r="24" spans="1:11" x14ac:dyDescent="0.35">
      <c r="A24">
        <v>15.77</v>
      </c>
      <c r="B24">
        <v>2</v>
      </c>
      <c r="C24">
        <v>0</v>
      </c>
      <c r="D24">
        <v>0</v>
      </c>
      <c r="E24">
        <v>1</v>
      </c>
      <c r="F24">
        <v>0</v>
      </c>
      <c r="G24">
        <v>1</v>
      </c>
      <c r="H24">
        <v>2.23</v>
      </c>
      <c r="I24">
        <f t="shared" si="0"/>
        <v>2.5123799999999998</v>
      </c>
      <c r="J24">
        <f t="shared" si="1"/>
        <v>0.28237999999999985</v>
      </c>
      <c r="K24">
        <f t="shared" si="2"/>
        <v>7.9738464399999917E-2</v>
      </c>
    </row>
    <row r="25" spans="1:11" x14ac:dyDescent="0.35">
      <c r="A25">
        <v>39.42</v>
      </c>
      <c r="B25">
        <v>4</v>
      </c>
      <c r="C25">
        <v>1</v>
      </c>
      <c r="D25">
        <v>0</v>
      </c>
      <c r="E25">
        <v>1</v>
      </c>
      <c r="F25">
        <v>0</v>
      </c>
      <c r="G25">
        <v>1</v>
      </c>
      <c r="H25">
        <v>7.58</v>
      </c>
      <c r="I25">
        <f t="shared" si="0"/>
        <v>5.0624800000000008</v>
      </c>
      <c r="J25">
        <f t="shared" si="1"/>
        <v>-2.5175199999999993</v>
      </c>
      <c r="K25">
        <f t="shared" si="2"/>
        <v>6.3379069503999963</v>
      </c>
    </row>
    <row r="26" spans="1:11" x14ac:dyDescent="0.35">
      <c r="A26">
        <v>19.82</v>
      </c>
      <c r="B26">
        <v>2</v>
      </c>
      <c r="C26">
        <v>1</v>
      </c>
      <c r="D26">
        <v>0</v>
      </c>
      <c r="E26">
        <v>1</v>
      </c>
      <c r="F26">
        <v>0</v>
      </c>
      <c r="G26">
        <v>1</v>
      </c>
      <c r="H26">
        <v>3.18</v>
      </c>
      <c r="I26">
        <f t="shared" si="0"/>
        <v>2.86408</v>
      </c>
      <c r="J26">
        <f t="shared" si="1"/>
        <v>-0.3159200000000002</v>
      </c>
      <c r="K26">
        <f t="shared" si="2"/>
        <v>9.9805446400000122E-2</v>
      </c>
    </row>
    <row r="27" spans="1:11" x14ac:dyDescent="0.35">
      <c r="A27">
        <v>17.809999999999999</v>
      </c>
      <c r="B27">
        <v>4</v>
      </c>
      <c r="C27">
        <v>1</v>
      </c>
      <c r="D27">
        <v>0</v>
      </c>
      <c r="E27">
        <v>1</v>
      </c>
      <c r="F27">
        <v>0</v>
      </c>
      <c r="G27">
        <v>1</v>
      </c>
      <c r="H27">
        <v>2.34</v>
      </c>
      <c r="I27">
        <f t="shared" si="0"/>
        <v>3.0311400000000002</v>
      </c>
      <c r="J27">
        <f t="shared" si="1"/>
        <v>0.69114000000000031</v>
      </c>
      <c r="K27">
        <f t="shared" si="2"/>
        <v>0.47767449960000041</v>
      </c>
    </row>
    <row r="28" spans="1:11" x14ac:dyDescent="0.35">
      <c r="A28">
        <v>13.37</v>
      </c>
      <c r="B28">
        <v>2</v>
      </c>
      <c r="C28">
        <v>1</v>
      </c>
      <c r="D28">
        <v>0</v>
      </c>
      <c r="E28">
        <v>1</v>
      </c>
      <c r="F28">
        <v>0</v>
      </c>
      <c r="G28">
        <v>1</v>
      </c>
      <c r="H28">
        <v>2</v>
      </c>
      <c r="I28">
        <f t="shared" si="0"/>
        <v>2.2577799999999999</v>
      </c>
      <c r="J28">
        <f t="shared" si="1"/>
        <v>0.2577799999999999</v>
      </c>
      <c r="K28">
        <f t="shared" si="2"/>
        <v>6.6450528399999945E-2</v>
      </c>
    </row>
    <row r="29" spans="1:11" x14ac:dyDescent="0.35">
      <c r="A29">
        <v>12.69</v>
      </c>
      <c r="B29">
        <v>2</v>
      </c>
      <c r="C29">
        <v>1</v>
      </c>
      <c r="D29">
        <v>0</v>
      </c>
      <c r="E29">
        <v>1</v>
      </c>
      <c r="F29">
        <v>0</v>
      </c>
      <c r="G29">
        <v>1</v>
      </c>
      <c r="H29">
        <v>2</v>
      </c>
      <c r="I29">
        <f t="shared" si="0"/>
        <v>2.1938599999999999</v>
      </c>
      <c r="J29">
        <f t="shared" si="1"/>
        <v>0.19385999999999992</v>
      </c>
      <c r="K29">
        <f t="shared" si="2"/>
        <v>3.758169959999997E-2</v>
      </c>
    </row>
    <row r="30" spans="1:11" x14ac:dyDescent="0.35">
      <c r="A30">
        <v>21.7</v>
      </c>
      <c r="B30">
        <v>2</v>
      </c>
      <c r="C30">
        <v>1</v>
      </c>
      <c r="D30">
        <v>0</v>
      </c>
      <c r="E30">
        <v>1</v>
      </c>
      <c r="F30">
        <v>0</v>
      </c>
      <c r="G30">
        <v>1</v>
      </c>
      <c r="H30">
        <v>4.3</v>
      </c>
      <c r="I30">
        <f t="shared" si="0"/>
        <v>3.0407999999999999</v>
      </c>
      <c r="J30">
        <f t="shared" si="1"/>
        <v>-1.2591999999999999</v>
      </c>
      <c r="K30">
        <f t="shared" si="2"/>
        <v>1.5855846399999998</v>
      </c>
    </row>
    <row r="31" spans="1:11" x14ac:dyDescent="0.35">
      <c r="A31">
        <v>19.649999999999999</v>
      </c>
      <c r="B31">
        <v>2</v>
      </c>
      <c r="C31">
        <v>0</v>
      </c>
      <c r="D31">
        <v>0</v>
      </c>
      <c r="E31">
        <v>1</v>
      </c>
      <c r="F31">
        <v>0</v>
      </c>
      <c r="G31">
        <v>1</v>
      </c>
      <c r="H31">
        <v>3</v>
      </c>
      <c r="I31">
        <f t="shared" si="0"/>
        <v>2.8771</v>
      </c>
      <c r="J31">
        <f t="shared" si="1"/>
        <v>-0.12290000000000001</v>
      </c>
      <c r="K31">
        <f t="shared" si="2"/>
        <v>1.5104410000000002E-2</v>
      </c>
    </row>
    <row r="32" spans="1:11" x14ac:dyDescent="0.35">
      <c r="A32">
        <v>9.5500000000000007</v>
      </c>
      <c r="B32">
        <v>2</v>
      </c>
      <c r="C32">
        <v>1</v>
      </c>
      <c r="D32">
        <v>0</v>
      </c>
      <c r="E32">
        <v>1</v>
      </c>
      <c r="F32">
        <v>0</v>
      </c>
      <c r="G32">
        <v>1</v>
      </c>
      <c r="H32">
        <v>1.45</v>
      </c>
      <c r="I32">
        <f t="shared" si="0"/>
        <v>1.8986999999999998</v>
      </c>
      <c r="J32">
        <f t="shared" si="1"/>
        <v>0.44869999999999988</v>
      </c>
      <c r="K32">
        <f t="shared" si="2"/>
        <v>0.2013316899999999</v>
      </c>
    </row>
    <row r="33" spans="1:11" x14ac:dyDescent="0.35">
      <c r="A33">
        <v>18.350000000000001</v>
      </c>
      <c r="B33">
        <v>4</v>
      </c>
      <c r="C33">
        <v>1</v>
      </c>
      <c r="D33">
        <v>0</v>
      </c>
      <c r="E33">
        <v>1</v>
      </c>
      <c r="F33">
        <v>0</v>
      </c>
      <c r="G33">
        <v>1</v>
      </c>
      <c r="H33">
        <v>2.5</v>
      </c>
      <c r="I33">
        <f t="shared" si="0"/>
        <v>3.0818999999999996</v>
      </c>
      <c r="J33">
        <f t="shared" si="1"/>
        <v>0.58189999999999964</v>
      </c>
      <c r="K33">
        <f t="shared" si="2"/>
        <v>0.33860760999999956</v>
      </c>
    </row>
    <row r="34" spans="1:11" x14ac:dyDescent="0.35">
      <c r="A34">
        <v>15.06</v>
      </c>
      <c r="B34">
        <v>2</v>
      </c>
      <c r="C34">
        <v>0</v>
      </c>
      <c r="D34">
        <v>0</v>
      </c>
      <c r="E34">
        <v>1</v>
      </c>
      <c r="F34">
        <v>0</v>
      </c>
      <c r="G34">
        <v>1</v>
      </c>
      <c r="H34">
        <v>3</v>
      </c>
      <c r="I34">
        <f t="shared" si="0"/>
        <v>2.4456399999999996</v>
      </c>
      <c r="J34">
        <f t="shared" si="1"/>
        <v>-0.55436000000000041</v>
      </c>
      <c r="K34">
        <f t="shared" si="2"/>
        <v>0.30731500960000047</v>
      </c>
    </row>
    <row r="35" spans="1:11" x14ac:dyDescent="0.35">
      <c r="A35">
        <v>20.69</v>
      </c>
      <c r="B35">
        <v>4</v>
      </c>
      <c r="C35">
        <v>0</v>
      </c>
      <c r="D35">
        <v>0</v>
      </c>
      <c r="E35">
        <v>1</v>
      </c>
      <c r="F35">
        <v>0</v>
      </c>
      <c r="G35">
        <v>1</v>
      </c>
      <c r="H35">
        <v>2.4500000000000002</v>
      </c>
      <c r="I35">
        <f t="shared" si="0"/>
        <v>3.3308599999999999</v>
      </c>
      <c r="J35">
        <f t="shared" si="1"/>
        <v>0.88085999999999975</v>
      </c>
      <c r="K35">
        <f t="shared" si="2"/>
        <v>0.77591433959999956</v>
      </c>
    </row>
    <row r="36" spans="1:11" x14ac:dyDescent="0.35">
      <c r="A36">
        <v>17.78</v>
      </c>
      <c r="B36">
        <v>2</v>
      </c>
      <c r="C36">
        <v>1</v>
      </c>
      <c r="D36">
        <v>0</v>
      </c>
      <c r="E36">
        <v>1</v>
      </c>
      <c r="F36">
        <v>0</v>
      </c>
      <c r="G36">
        <v>1</v>
      </c>
      <c r="H36">
        <v>3.27</v>
      </c>
      <c r="I36">
        <f t="shared" si="0"/>
        <v>2.67232</v>
      </c>
      <c r="J36">
        <f t="shared" si="1"/>
        <v>-0.59767999999999999</v>
      </c>
      <c r="K36">
        <f t="shared" si="2"/>
        <v>0.35722138240000001</v>
      </c>
    </row>
    <row r="37" spans="1:11" x14ac:dyDescent="0.35">
      <c r="A37">
        <v>24.06</v>
      </c>
      <c r="B37">
        <v>3</v>
      </c>
      <c r="C37">
        <v>1</v>
      </c>
      <c r="D37">
        <v>0</v>
      </c>
      <c r="E37">
        <v>1</v>
      </c>
      <c r="F37">
        <v>0</v>
      </c>
      <c r="G37">
        <v>1</v>
      </c>
      <c r="H37">
        <v>3.6</v>
      </c>
      <c r="I37">
        <f t="shared" si="0"/>
        <v>3.4406399999999997</v>
      </c>
      <c r="J37">
        <f t="shared" si="1"/>
        <v>-0.15936000000000039</v>
      </c>
      <c r="K37">
        <f t="shared" si="2"/>
        <v>2.5395609600000126E-2</v>
      </c>
    </row>
    <row r="38" spans="1:11" x14ac:dyDescent="0.35">
      <c r="A38">
        <v>16.309999999999999</v>
      </c>
      <c r="B38">
        <v>3</v>
      </c>
      <c r="C38">
        <v>1</v>
      </c>
      <c r="D38">
        <v>0</v>
      </c>
      <c r="E38">
        <v>1</v>
      </c>
      <c r="F38">
        <v>0</v>
      </c>
      <c r="G38">
        <v>1</v>
      </c>
      <c r="H38">
        <v>2</v>
      </c>
      <c r="I38">
        <f t="shared" si="0"/>
        <v>2.7121400000000002</v>
      </c>
      <c r="J38">
        <f t="shared" si="1"/>
        <v>0.71214000000000022</v>
      </c>
      <c r="K38">
        <f t="shared" si="2"/>
        <v>0.50714337960000033</v>
      </c>
    </row>
    <row r="39" spans="1:11" x14ac:dyDescent="0.35">
      <c r="A39">
        <v>16.93</v>
      </c>
      <c r="B39">
        <v>3</v>
      </c>
      <c r="C39">
        <v>0</v>
      </c>
      <c r="D39">
        <v>0</v>
      </c>
      <c r="E39">
        <v>1</v>
      </c>
      <c r="F39">
        <v>0</v>
      </c>
      <c r="G39">
        <v>1</v>
      </c>
      <c r="H39">
        <v>3.07</v>
      </c>
      <c r="I39">
        <f t="shared" si="0"/>
        <v>2.79942</v>
      </c>
      <c r="J39">
        <f t="shared" si="1"/>
        <v>-0.27057999999999982</v>
      </c>
      <c r="K39">
        <f t="shared" si="2"/>
        <v>7.3213536399999904E-2</v>
      </c>
    </row>
    <row r="40" spans="1:11" x14ac:dyDescent="0.35">
      <c r="A40">
        <v>18.690000000000001</v>
      </c>
      <c r="B40">
        <v>3</v>
      </c>
      <c r="C40">
        <v>1</v>
      </c>
      <c r="D40">
        <v>0</v>
      </c>
      <c r="E40">
        <v>1</v>
      </c>
      <c r="F40">
        <v>0</v>
      </c>
      <c r="G40">
        <v>1</v>
      </c>
      <c r="H40">
        <v>2.31</v>
      </c>
      <c r="I40">
        <f t="shared" si="0"/>
        <v>2.9358600000000004</v>
      </c>
      <c r="J40">
        <f t="shared" si="1"/>
        <v>0.6258600000000003</v>
      </c>
      <c r="K40">
        <f t="shared" si="2"/>
        <v>0.3917007396000004</v>
      </c>
    </row>
    <row r="41" spans="1:11" x14ac:dyDescent="0.35">
      <c r="A41">
        <v>31.27</v>
      </c>
      <c r="B41">
        <v>3</v>
      </c>
      <c r="C41">
        <v>1</v>
      </c>
      <c r="D41">
        <v>0</v>
      </c>
      <c r="E41">
        <v>1</v>
      </c>
      <c r="F41">
        <v>0</v>
      </c>
      <c r="G41">
        <v>1</v>
      </c>
      <c r="H41">
        <v>5</v>
      </c>
      <c r="I41">
        <f t="shared" si="0"/>
        <v>4.1183800000000002</v>
      </c>
      <c r="J41">
        <f t="shared" si="1"/>
        <v>-0.88161999999999985</v>
      </c>
      <c r="K41">
        <f t="shared" si="2"/>
        <v>0.77725382439999968</v>
      </c>
    </row>
    <row r="42" spans="1:11" x14ac:dyDescent="0.35">
      <c r="A42">
        <v>16.04</v>
      </c>
      <c r="B42">
        <v>3</v>
      </c>
      <c r="C42">
        <v>1</v>
      </c>
      <c r="D42">
        <v>0</v>
      </c>
      <c r="E42">
        <v>1</v>
      </c>
      <c r="F42">
        <v>0</v>
      </c>
      <c r="G42">
        <v>1</v>
      </c>
      <c r="H42">
        <v>2.2400000000000002</v>
      </c>
      <c r="I42">
        <f t="shared" si="0"/>
        <v>2.68676</v>
      </c>
      <c r="J42">
        <f t="shared" si="1"/>
        <v>0.44675999999999982</v>
      </c>
      <c r="K42">
        <f t="shared" si="2"/>
        <v>0.19959449759999984</v>
      </c>
    </row>
    <row r="43" spans="1:11" x14ac:dyDescent="0.35">
      <c r="A43">
        <v>17.46</v>
      </c>
      <c r="B43">
        <v>2</v>
      </c>
      <c r="C43">
        <v>1</v>
      </c>
      <c r="D43">
        <v>0</v>
      </c>
      <c r="E43">
        <v>1</v>
      </c>
      <c r="F43">
        <v>0</v>
      </c>
      <c r="G43">
        <v>0</v>
      </c>
      <c r="H43">
        <v>2.54</v>
      </c>
      <c r="I43">
        <f t="shared" si="0"/>
        <v>2.7292399999999999</v>
      </c>
      <c r="J43">
        <f t="shared" si="1"/>
        <v>0.18923999999999985</v>
      </c>
      <c r="K43">
        <f t="shared" si="2"/>
        <v>3.5811777599999942E-2</v>
      </c>
    </row>
    <row r="44" spans="1:11" x14ac:dyDescent="0.35">
      <c r="A44">
        <v>13.94</v>
      </c>
      <c r="B44">
        <v>2</v>
      </c>
      <c r="C44">
        <v>1</v>
      </c>
      <c r="D44">
        <v>0</v>
      </c>
      <c r="E44">
        <v>1</v>
      </c>
      <c r="F44">
        <v>0</v>
      </c>
      <c r="G44">
        <v>0</v>
      </c>
      <c r="H44">
        <v>3.06</v>
      </c>
      <c r="I44">
        <f t="shared" si="0"/>
        <v>2.3983600000000003</v>
      </c>
      <c r="J44">
        <f t="shared" si="1"/>
        <v>-0.66163999999999978</v>
      </c>
      <c r="K44">
        <f t="shared" si="2"/>
        <v>0.43776748959999973</v>
      </c>
    </row>
    <row r="45" spans="1:11" x14ac:dyDescent="0.35">
      <c r="A45">
        <v>9.68</v>
      </c>
      <c r="B45">
        <v>2</v>
      </c>
      <c r="C45">
        <v>1</v>
      </c>
      <c r="D45">
        <v>0</v>
      </c>
      <c r="E45">
        <v>1</v>
      </c>
      <c r="F45">
        <v>0</v>
      </c>
      <c r="G45">
        <v>0</v>
      </c>
      <c r="H45">
        <v>1.32</v>
      </c>
      <c r="I45">
        <f t="shared" si="0"/>
        <v>1.9979199999999999</v>
      </c>
      <c r="J45">
        <f t="shared" si="1"/>
        <v>0.67791999999999986</v>
      </c>
      <c r="K45">
        <f t="shared" si="2"/>
        <v>0.45957552639999982</v>
      </c>
    </row>
    <row r="46" spans="1:11" x14ac:dyDescent="0.35">
      <c r="A46">
        <v>30.4</v>
      </c>
      <c r="B46">
        <v>4</v>
      </c>
      <c r="C46">
        <v>1</v>
      </c>
      <c r="D46">
        <v>0</v>
      </c>
      <c r="E46">
        <v>1</v>
      </c>
      <c r="F46">
        <v>0</v>
      </c>
      <c r="G46">
        <v>0</v>
      </c>
      <c r="H46">
        <v>5.6</v>
      </c>
      <c r="I46">
        <f t="shared" si="0"/>
        <v>4.3015999999999996</v>
      </c>
      <c r="J46">
        <f t="shared" si="1"/>
        <v>-1.2984</v>
      </c>
      <c r="K46">
        <f t="shared" si="2"/>
        <v>1.68584256</v>
      </c>
    </row>
    <row r="47" spans="1:11" x14ac:dyDescent="0.35">
      <c r="A47">
        <v>18.29</v>
      </c>
      <c r="B47">
        <v>2</v>
      </c>
      <c r="C47">
        <v>1</v>
      </c>
      <c r="D47">
        <v>0</v>
      </c>
      <c r="E47">
        <v>1</v>
      </c>
      <c r="F47">
        <v>0</v>
      </c>
      <c r="G47">
        <v>0</v>
      </c>
      <c r="H47">
        <v>3</v>
      </c>
      <c r="I47">
        <f t="shared" si="0"/>
        <v>2.8072600000000003</v>
      </c>
      <c r="J47">
        <f t="shared" si="1"/>
        <v>-0.19273999999999969</v>
      </c>
      <c r="K47">
        <f t="shared" si="2"/>
        <v>3.7148707599999879E-2</v>
      </c>
    </row>
    <row r="48" spans="1:11" x14ac:dyDescent="0.35">
      <c r="A48">
        <v>22.23</v>
      </c>
      <c r="B48">
        <v>2</v>
      </c>
      <c r="C48">
        <v>1</v>
      </c>
      <c r="D48">
        <v>0</v>
      </c>
      <c r="E48">
        <v>1</v>
      </c>
      <c r="F48">
        <v>0</v>
      </c>
      <c r="G48">
        <v>0</v>
      </c>
      <c r="H48">
        <v>5</v>
      </c>
      <c r="I48">
        <f t="shared" si="0"/>
        <v>3.1776200000000001</v>
      </c>
      <c r="J48">
        <f t="shared" si="1"/>
        <v>-1.8223799999999999</v>
      </c>
      <c r="K48">
        <f t="shared" si="2"/>
        <v>3.3210688643999995</v>
      </c>
    </row>
    <row r="49" spans="1:11" x14ac:dyDescent="0.35">
      <c r="A49">
        <v>32.4</v>
      </c>
      <c r="B49">
        <v>4</v>
      </c>
      <c r="C49">
        <v>1</v>
      </c>
      <c r="D49">
        <v>0</v>
      </c>
      <c r="E49">
        <v>1</v>
      </c>
      <c r="F49">
        <v>0</v>
      </c>
      <c r="G49">
        <v>0</v>
      </c>
      <c r="H49">
        <v>6</v>
      </c>
      <c r="I49">
        <f t="shared" si="0"/>
        <v>4.4896000000000003</v>
      </c>
      <c r="J49">
        <f t="shared" si="1"/>
        <v>-1.5103999999999997</v>
      </c>
      <c r="K49">
        <f t="shared" si="2"/>
        <v>2.2813081599999991</v>
      </c>
    </row>
    <row r="50" spans="1:11" x14ac:dyDescent="0.35">
      <c r="A50">
        <v>28.55</v>
      </c>
      <c r="B50">
        <v>3</v>
      </c>
      <c r="C50">
        <v>1</v>
      </c>
      <c r="D50">
        <v>0</v>
      </c>
      <c r="E50">
        <v>1</v>
      </c>
      <c r="F50">
        <v>0</v>
      </c>
      <c r="G50">
        <v>0</v>
      </c>
      <c r="H50">
        <v>2.0499999999999998</v>
      </c>
      <c r="I50">
        <f t="shared" si="0"/>
        <v>3.9497</v>
      </c>
      <c r="J50">
        <f t="shared" si="1"/>
        <v>1.8997000000000002</v>
      </c>
      <c r="K50">
        <f t="shared" si="2"/>
        <v>3.6088600900000007</v>
      </c>
    </row>
    <row r="51" spans="1:11" x14ac:dyDescent="0.35">
      <c r="A51">
        <v>18.04</v>
      </c>
      <c r="B51">
        <v>2</v>
      </c>
      <c r="C51">
        <v>1</v>
      </c>
      <c r="D51">
        <v>0</v>
      </c>
      <c r="E51">
        <v>1</v>
      </c>
      <c r="F51">
        <v>0</v>
      </c>
      <c r="G51">
        <v>0</v>
      </c>
      <c r="H51">
        <v>3</v>
      </c>
      <c r="I51">
        <f t="shared" si="0"/>
        <v>2.78376</v>
      </c>
      <c r="J51">
        <f t="shared" si="1"/>
        <v>-0.21623999999999999</v>
      </c>
      <c r="K51">
        <f t="shared" si="2"/>
        <v>4.6759737599999997E-2</v>
      </c>
    </row>
    <row r="52" spans="1:11" x14ac:dyDescent="0.35">
      <c r="A52">
        <v>12.54</v>
      </c>
      <c r="B52">
        <v>2</v>
      </c>
      <c r="C52">
        <v>1</v>
      </c>
      <c r="D52">
        <v>0</v>
      </c>
      <c r="E52">
        <v>1</v>
      </c>
      <c r="F52">
        <v>0</v>
      </c>
      <c r="G52">
        <v>0</v>
      </c>
      <c r="H52">
        <v>2.5</v>
      </c>
      <c r="I52">
        <f t="shared" si="0"/>
        <v>2.2667600000000001</v>
      </c>
      <c r="J52">
        <f t="shared" si="1"/>
        <v>-0.23323999999999989</v>
      </c>
      <c r="K52">
        <f t="shared" si="2"/>
        <v>5.4400897599999949E-2</v>
      </c>
    </row>
    <row r="53" spans="1:11" x14ac:dyDescent="0.35">
      <c r="A53">
        <v>10.29</v>
      </c>
      <c r="B53">
        <v>2</v>
      </c>
      <c r="C53">
        <v>0</v>
      </c>
      <c r="D53">
        <v>0</v>
      </c>
      <c r="E53">
        <v>1</v>
      </c>
      <c r="F53">
        <v>0</v>
      </c>
      <c r="G53">
        <v>0</v>
      </c>
      <c r="H53">
        <v>2.6</v>
      </c>
      <c r="I53">
        <f t="shared" si="0"/>
        <v>2.08426</v>
      </c>
      <c r="J53">
        <f t="shared" si="1"/>
        <v>-0.51574000000000009</v>
      </c>
      <c r="K53">
        <f t="shared" si="2"/>
        <v>0.2659877476000001</v>
      </c>
    </row>
    <row r="54" spans="1:11" x14ac:dyDescent="0.35">
      <c r="A54">
        <v>34.81</v>
      </c>
      <c r="B54">
        <v>4</v>
      </c>
      <c r="C54">
        <v>0</v>
      </c>
      <c r="D54">
        <v>0</v>
      </c>
      <c r="E54">
        <v>1</v>
      </c>
      <c r="F54">
        <v>0</v>
      </c>
      <c r="G54">
        <v>0</v>
      </c>
      <c r="H54">
        <v>5.2</v>
      </c>
      <c r="I54">
        <f t="shared" si="0"/>
        <v>4.7451400000000001</v>
      </c>
      <c r="J54">
        <f t="shared" si="1"/>
        <v>-0.45486000000000004</v>
      </c>
      <c r="K54">
        <f t="shared" si="2"/>
        <v>0.20689761960000003</v>
      </c>
    </row>
    <row r="55" spans="1:11" x14ac:dyDescent="0.35">
      <c r="A55">
        <v>9.94</v>
      </c>
      <c r="B55">
        <v>2</v>
      </c>
      <c r="C55">
        <v>1</v>
      </c>
      <c r="D55">
        <v>0</v>
      </c>
      <c r="E55">
        <v>1</v>
      </c>
      <c r="F55">
        <v>0</v>
      </c>
      <c r="G55">
        <v>0</v>
      </c>
      <c r="H55">
        <v>1.56</v>
      </c>
      <c r="I55">
        <f t="shared" si="0"/>
        <v>2.0223599999999999</v>
      </c>
      <c r="J55">
        <f t="shared" si="1"/>
        <v>0.46235999999999988</v>
      </c>
      <c r="K55">
        <f t="shared" si="2"/>
        <v>0.21377676959999989</v>
      </c>
    </row>
    <row r="56" spans="1:11" x14ac:dyDescent="0.35">
      <c r="A56">
        <v>25.56</v>
      </c>
      <c r="B56">
        <v>4</v>
      </c>
      <c r="C56">
        <v>1</v>
      </c>
      <c r="D56">
        <v>0</v>
      </c>
      <c r="E56">
        <v>1</v>
      </c>
      <c r="F56">
        <v>0</v>
      </c>
      <c r="G56">
        <v>0</v>
      </c>
      <c r="H56">
        <v>4.34</v>
      </c>
      <c r="I56">
        <f t="shared" si="0"/>
        <v>3.8466399999999998</v>
      </c>
      <c r="J56">
        <f t="shared" si="1"/>
        <v>-0.49336000000000002</v>
      </c>
      <c r="K56">
        <f t="shared" si="2"/>
        <v>0.24340408960000001</v>
      </c>
    </row>
    <row r="57" spans="1:11" x14ac:dyDescent="0.35">
      <c r="A57">
        <v>19.489999999999998</v>
      </c>
      <c r="B57">
        <v>2</v>
      </c>
      <c r="C57">
        <v>1</v>
      </c>
      <c r="D57">
        <v>0</v>
      </c>
      <c r="E57">
        <v>1</v>
      </c>
      <c r="F57">
        <v>0</v>
      </c>
      <c r="G57">
        <v>0</v>
      </c>
      <c r="H57">
        <v>3.51</v>
      </c>
      <c r="I57">
        <f t="shared" si="0"/>
        <v>2.9200599999999999</v>
      </c>
      <c r="J57">
        <f t="shared" si="1"/>
        <v>-0.58993999999999991</v>
      </c>
      <c r="K57">
        <f t="shared" si="2"/>
        <v>0.34802920359999989</v>
      </c>
    </row>
    <row r="58" spans="1:11" x14ac:dyDescent="0.35">
      <c r="A58">
        <v>38.01</v>
      </c>
      <c r="B58">
        <v>4</v>
      </c>
      <c r="C58">
        <v>1</v>
      </c>
      <c r="D58">
        <v>1</v>
      </c>
      <c r="E58">
        <v>1</v>
      </c>
      <c r="F58">
        <v>0</v>
      </c>
      <c r="G58">
        <v>1</v>
      </c>
      <c r="H58">
        <v>3</v>
      </c>
      <c r="I58">
        <f t="shared" si="0"/>
        <v>4.8459400000000006</v>
      </c>
      <c r="J58">
        <f t="shared" si="1"/>
        <v>1.8459400000000006</v>
      </c>
      <c r="K58">
        <f t="shared" si="2"/>
        <v>3.4074944836000021</v>
      </c>
    </row>
    <row r="59" spans="1:11" x14ac:dyDescent="0.35">
      <c r="A59">
        <v>26.41</v>
      </c>
      <c r="B59">
        <v>2</v>
      </c>
      <c r="C59">
        <v>0</v>
      </c>
      <c r="D59">
        <v>0</v>
      </c>
      <c r="E59">
        <v>1</v>
      </c>
      <c r="F59">
        <v>0</v>
      </c>
      <c r="G59">
        <v>1</v>
      </c>
      <c r="H59">
        <v>1.5</v>
      </c>
      <c r="I59">
        <f t="shared" si="0"/>
        <v>3.51254</v>
      </c>
      <c r="J59">
        <f t="shared" si="1"/>
        <v>2.01254</v>
      </c>
      <c r="K59">
        <f t="shared" si="2"/>
        <v>4.0503172516000001</v>
      </c>
    </row>
    <row r="60" spans="1:11" x14ac:dyDescent="0.35">
      <c r="A60">
        <v>11.24</v>
      </c>
      <c r="B60">
        <v>2</v>
      </c>
      <c r="C60">
        <v>1</v>
      </c>
      <c r="D60">
        <v>1</v>
      </c>
      <c r="E60">
        <v>1</v>
      </c>
      <c r="F60">
        <v>0</v>
      </c>
      <c r="G60">
        <v>1</v>
      </c>
      <c r="H60">
        <v>1.76</v>
      </c>
      <c r="I60">
        <f t="shared" si="0"/>
        <v>1.9735600000000002</v>
      </c>
      <c r="J60">
        <f t="shared" si="1"/>
        <v>0.21356000000000019</v>
      </c>
      <c r="K60">
        <f t="shared" si="2"/>
        <v>4.5607873600000085E-2</v>
      </c>
    </row>
    <row r="61" spans="1:11" x14ac:dyDescent="0.35">
      <c r="A61">
        <v>48.27</v>
      </c>
      <c r="B61">
        <v>4</v>
      </c>
      <c r="C61">
        <v>1</v>
      </c>
      <c r="D61">
        <v>0</v>
      </c>
      <c r="E61">
        <v>1</v>
      </c>
      <c r="F61">
        <v>0</v>
      </c>
      <c r="G61">
        <v>1</v>
      </c>
      <c r="H61">
        <v>6.73</v>
      </c>
      <c r="I61">
        <f t="shared" si="0"/>
        <v>5.8943800000000008</v>
      </c>
      <c r="J61">
        <f t="shared" si="1"/>
        <v>-0.83561999999999959</v>
      </c>
      <c r="K61">
        <f t="shared" si="2"/>
        <v>0.69826078439999928</v>
      </c>
    </row>
    <row r="62" spans="1:11" x14ac:dyDescent="0.35">
      <c r="A62">
        <v>20.29</v>
      </c>
      <c r="B62">
        <v>2</v>
      </c>
      <c r="C62">
        <v>1</v>
      </c>
      <c r="D62">
        <v>1</v>
      </c>
      <c r="E62">
        <v>1</v>
      </c>
      <c r="F62">
        <v>0</v>
      </c>
      <c r="G62">
        <v>1</v>
      </c>
      <c r="H62">
        <v>3.21</v>
      </c>
      <c r="I62">
        <f t="shared" si="0"/>
        <v>2.8242599999999998</v>
      </c>
      <c r="J62">
        <f t="shared" si="1"/>
        <v>-0.38574000000000019</v>
      </c>
      <c r="K62">
        <f t="shared" si="2"/>
        <v>0.14879534760000016</v>
      </c>
    </row>
    <row r="63" spans="1:11" x14ac:dyDescent="0.35">
      <c r="A63">
        <v>13.81</v>
      </c>
      <c r="B63">
        <v>2</v>
      </c>
      <c r="C63">
        <v>1</v>
      </c>
      <c r="D63">
        <v>1</v>
      </c>
      <c r="E63">
        <v>1</v>
      </c>
      <c r="F63">
        <v>0</v>
      </c>
      <c r="G63">
        <v>1</v>
      </c>
      <c r="H63">
        <v>2</v>
      </c>
      <c r="I63">
        <f t="shared" si="0"/>
        <v>2.2151399999999999</v>
      </c>
      <c r="J63">
        <f t="shared" si="1"/>
        <v>0.21513999999999989</v>
      </c>
      <c r="K63">
        <f t="shared" si="2"/>
        <v>4.6285219599999948E-2</v>
      </c>
    </row>
    <row r="64" spans="1:11" x14ac:dyDescent="0.35">
      <c r="A64">
        <v>11.02</v>
      </c>
      <c r="B64">
        <v>2</v>
      </c>
      <c r="C64">
        <v>1</v>
      </c>
      <c r="D64">
        <v>1</v>
      </c>
      <c r="E64">
        <v>1</v>
      </c>
      <c r="F64">
        <v>0</v>
      </c>
      <c r="G64">
        <v>1</v>
      </c>
      <c r="H64">
        <v>1.98</v>
      </c>
      <c r="I64">
        <f t="shared" si="0"/>
        <v>1.9528800000000002</v>
      </c>
      <c r="J64">
        <f t="shared" si="1"/>
        <v>-2.7119999999999811E-2</v>
      </c>
      <c r="K64">
        <f t="shared" si="2"/>
        <v>7.3549439999998978E-4</v>
      </c>
    </row>
    <row r="65" spans="1:11" x14ac:dyDescent="0.35">
      <c r="A65">
        <v>18.29</v>
      </c>
      <c r="B65">
        <v>4</v>
      </c>
      <c r="C65">
        <v>1</v>
      </c>
      <c r="D65">
        <v>1</v>
      </c>
      <c r="E65">
        <v>1</v>
      </c>
      <c r="F65">
        <v>0</v>
      </c>
      <c r="G65">
        <v>1</v>
      </c>
      <c r="H65">
        <v>3.76</v>
      </c>
      <c r="I65">
        <f t="shared" si="0"/>
        <v>2.9922599999999999</v>
      </c>
      <c r="J65">
        <f t="shared" si="1"/>
        <v>-0.76773999999999987</v>
      </c>
      <c r="K65">
        <f t="shared" si="2"/>
        <v>0.58942470759999976</v>
      </c>
    </row>
    <row r="66" spans="1:11" x14ac:dyDescent="0.35">
      <c r="A66">
        <v>17.59</v>
      </c>
      <c r="B66">
        <v>3</v>
      </c>
      <c r="C66">
        <v>1</v>
      </c>
      <c r="D66">
        <v>0</v>
      </c>
      <c r="E66">
        <v>1</v>
      </c>
      <c r="F66">
        <v>0</v>
      </c>
      <c r="G66">
        <v>1</v>
      </c>
      <c r="H66">
        <v>2.64</v>
      </c>
      <c r="I66">
        <f t="shared" si="0"/>
        <v>2.8324599999999998</v>
      </c>
      <c r="J66">
        <f t="shared" si="1"/>
        <v>0.19245999999999963</v>
      </c>
      <c r="K66">
        <f t="shared" si="2"/>
        <v>3.7040851599999855E-2</v>
      </c>
    </row>
    <row r="67" spans="1:11" x14ac:dyDescent="0.35">
      <c r="A67">
        <v>20.079999999999998</v>
      </c>
      <c r="B67">
        <v>3</v>
      </c>
      <c r="C67">
        <v>1</v>
      </c>
      <c r="D67">
        <v>0</v>
      </c>
      <c r="E67">
        <v>1</v>
      </c>
      <c r="F67">
        <v>0</v>
      </c>
      <c r="G67">
        <v>1</v>
      </c>
      <c r="H67">
        <v>3.15</v>
      </c>
      <c r="I67">
        <f t="shared" ref="I67:I130" si="3">0.71+(0.094*A67)+(0.178*B67)-(0.029*C67)-(0.084*D67)+(0.051*E67)+(0.078*F67)-(0.087*G67)</f>
        <v>3.0665200000000001</v>
      </c>
      <c r="J67">
        <f t="shared" ref="J67:J130" si="4">I67-H67</f>
        <v>-8.3479999999999777E-2</v>
      </c>
      <c r="K67">
        <f t="shared" ref="K67:K130" si="5">J67^2</f>
        <v>6.9689103999999629E-3</v>
      </c>
    </row>
    <row r="68" spans="1:11" x14ac:dyDescent="0.35">
      <c r="A68">
        <v>16.45</v>
      </c>
      <c r="B68">
        <v>2</v>
      </c>
      <c r="C68">
        <v>0</v>
      </c>
      <c r="D68">
        <v>0</v>
      </c>
      <c r="E68">
        <v>1</v>
      </c>
      <c r="F68">
        <v>0</v>
      </c>
      <c r="G68">
        <v>1</v>
      </c>
      <c r="H68">
        <v>2.4700000000000002</v>
      </c>
      <c r="I68">
        <f t="shared" si="3"/>
        <v>2.5762999999999998</v>
      </c>
      <c r="J68">
        <f t="shared" si="4"/>
        <v>0.10629999999999962</v>
      </c>
      <c r="K68">
        <f t="shared" si="5"/>
        <v>1.1299689999999918E-2</v>
      </c>
    </row>
    <row r="69" spans="1:11" x14ac:dyDescent="0.35">
      <c r="A69">
        <v>3.07</v>
      </c>
      <c r="B69">
        <v>1</v>
      </c>
      <c r="C69">
        <v>0</v>
      </c>
      <c r="D69">
        <v>1</v>
      </c>
      <c r="E69">
        <v>1</v>
      </c>
      <c r="F69">
        <v>0</v>
      </c>
      <c r="G69">
        <v>1</v>
      </c>
      <c r="H69">
        <v>1</v>
      </c>
      <c r="I69">
        <f t="shared" si="3"/>
        <v>1.0565799999999999</v>
      </c>
      <c r="J69">
        <f t="shared" si="4"/>
        <v>5.6579999999999853E-2</v>
      </c>
      <c r="K69">
        <f t="shared" si="5"/>
        <v>3.2012963999999834E-3</v>
      </c>
    </row>
    <row r="70" spans="1:11" x14ac:dyDescent="0.35">
      <c r="A70">
        <v>20.23</v>
      </c>
      <c r="B70">
        <v>2</v>
      </c>
      <c r="C70">
        <v>1</v>
      </c>
      <c r="D70">
        <v>0</v>
      </c>
      <c r="E70">
        <v>1</v>
      </c>
      <c r="F70">
        <v>0</v>
      </c>
      <c r="G70">
        <v>1</v>
      </c>
      <c r="H70">
        <v>2.0099999999999998</v>
      </c>
      <c r="I70">
        <f t="shared" si="3"/>
        <v>2.9026200000000002</v>
      </c>
      <c r="J70">
        <f t="shared" si="4"/>
        <v>0.89262000000000041</v>
      </c>
      <c r="K70">
        <f t="shared" si="5"/>
        <v>0.79677046440000077</v>
      </c>
    </row>
    <row r="71" spans="1:11" x14ac:dyDescent="0.35">
      <c r="A71">
        <v>15.01</v>
      </c>
      <c r="B71">
        <v>2</v>
      </c>
      <c r="C71">
        <v>1</v>
      </c>
      <c r="D71">
        <v>1</v>
      </c>
      <c r="E71">
        <v>1</v>
      </c>
      <c r="F71">
        <v>0</v>
      </c>
      <c r="G71">
        <v>1</v>
      </c>
      <c r="H71">
        <v>2.09</v>
      </c>
      <c r="I71">
        <f t="shared" si="3"/>
        <v>2.3279399999999999</v>
      </c>
      <c r="J71">
        <f t="shared" si="4"/>
        <v>0.23794000000000004</v>
      </c>
      <c r="K71">
        <f t="shared" si="5"/>
        <v>5.6615443600000016E-2</v>
      </c>
    </row>
    <row r="72" spans="1:11" x14ac:dyDescent="0.35">
      <c r="A72">
        <v>12.02</v>
      </c>
      <c r="B72">
        <v>2</v>
      </c>
      <c r="C72">
        <v>1</v>
      </c>
      <c r="D72">
        <v>0</v>
      </c>
      <c r="E72">
        <v>1</v>
      </c>
      <c r="F72">
        <v>0</v>
      </c>
      <c r="G72">
        <v>1</v>
      </c>
      <c r="H72">
        <v>1.97</v>
      </c>
      <c r="I72">
        <f t="shared" si="3"/>
        <v>2.1308799999999999</v>
      </c>
      <c r="J72">
        <f t="shared" si="4"/>
        <v>0.16087999999999991</v>
      </c>
      <c r="K72">
        <f t="shared" si="5"/>
        <v>2.588237439999997E-2</v>
      </c>
    </row>
    <row r="73" spans="1:11" x14ac:dyDescent="0.35">
      <c r="A73">
        <v>17.07</v>
      </c>
      <c r="B73">
        <v>3</v>
      </c>
      <c r="C73">
        <v>0</v>
      </c>
      <c r="D73">
        <v>0</v>
      </c>
      <c r="E73">
        <v>1</v>
      </c>
      <c r="F73">
        <v>0</v>
      </c>
      <c r="G73">
        <v>1</v>
      </c>
      <c r="H73">
        <v>3</v>
      </c>
      <c r="I73">
        <f t="shared" si="3"/>
        <v>2.8125800000000001</v>
      </c>
      <c r="J73">
        <f t="shared" si="4"/>
        <v>-0.18741999999999992</v>
      </c>
      <c r="K73">
        <f t="shared" si="5"/>
        <v>3.5126256399999972E-2</v>
      </c>
    </row>
    <row r="74" spans="1:11" x14ac:dyDescent="0.35">
      <c r="A74">
        <v>26.86</v>
      </c>
      <c r="B74">
        <v>2</v>
      </c>
      <c r="C74">
        <v>0</v>
      </c>
      <c r="D74">
        <v>1</v>
      </c>
      <c r="E74">
        <v>1</v>
      </c>
      <c r="F74">
        <v>0</v>
      </c>
      <c r="G74">
        <v>1</v>
      </c>
      <c r="H74">
        <v>3.14</v>
      </c>
      <c r="I74">
        <f t="shared" si="3"/>
        <v>3.4708399999999995</v>
      </c>
      <c r="J74">
        <f t="shared" si="4"/>
        <v>0.33083999999999936</v>
      </c>
      <c r="K74">
        <f t="shared" si="5"/>
        <v>0.10945510559999957</v>
      </c>
    </row>
    <row r="75" spans="1:11" x14ac:dyDescent="0.35">
      <c r="A75">
        <v>25.28</v>
      </c>
      <c r="B75">
        <v>2</v>
      </c>
      <c r="C75">
        <v>0</v>
      </c>
      <c r="D75">
        <v>1</v>
      </c>
      <c r="E75">
        <v>1</v>
      </c>
      <c r="F75">
        <v>0</v>
      </c>
      <c r="G75">
        <v>1</v>
      </c>
      <c r="H75">
        <v>5</v>
      </c>
      <c r="I75">
        <f t="shared" si="3"/>
        <v>3.3223199999999999</v>
      </c>
      <c r="J75">
        <f t="shared" si="4"/>
        <v>-1.6776800000000001</v>
      </c>
      <c r="K75">
        <f t="shared" si="5"/>
        <v>2.8146101824</v>
      </c>
    </row>
    <row r="76" spans="1:11" x14ac:dyDescent="0.35">
      <c r="A76">
        <v>14.73</v>
      </c>
      <c r="B76">
        <v>2</v>
      </c>
      <c r="C76">
        <v>0</v>
      </c>
      <c r="D76">
        <v>0</v>
      </c>
      <c r="E76">
        <v>1</v>
      </c>
      <c r="F76">
        <v>0</v>
      </c>
      <c r="G76">
        <v>1</v>
      </c>
      <c r="H76">
        <v>2.2000000000000002</v>
      </c>
      <c r="I76">
        <f t="shared" si="3"/>
        <v>2.4146199999999998</v>
      </c>
      <c r="J76">
        <f t="shared" si="4"/>
        <v>0.21461999999999959</v>
      </c>
      <c r="K76">
        <f t="shared" si="5"/>
        <v>4.6061744399999827E-2</v>
      </c>
    </row>
    <row r="77" spans="1:11" x14ac:dyDescent="0.35">
      <c r="A77">
        <v>10.51</v>
      </c>
      <c r="B77">
        <v>2</v>
      </c>
      <c r="C77">
        <v>1</v>
      </c>
      <c r="D77">
        <v>0</v>
      </c>
      <c r="E77">
        <v>1</v>
      </c>
      <c r="F77">
        <v>0</v>
      </c>
      <c r="G77">
        <v>1</v>
      </c>
      <c r="H77">
        <v>1.25</v>
      </c>
      <c r="I77">
        <f t="shared" si="3"/>
        <v>1.9889400000000002</v>
      </c>
      <c r="J77">
        <f t="shared" si="4"/>
        <v>0.73894000000000015</v>
      </c>
      <c r="K77">
        <f t="shared" si="5"/>
        <v>0.5460323236000002</v>
      </c>
    </row>
    <row r="78" spans="1:11" x14ac:dyDescent="0.35">
      <c r="A78">
        <v>17.920000000000002</v>
      </c>
      <c r="B78">
        <v>2</v>
      </c>
      <c r="C78">
        <v>1</v>
      </c>
      <c r="D78">
        <v>1</v>
      </c>
      <c r="E78">
        <v>1</v>
      </c>
      <c r="F78">
        <v>0</v>
      </c>
      <c r="G78">
        <v>1</v>
      </c>
      <c r="H78">
        <v>3.08</v>
      </c>
      <c r="I78">
        <f t="shared" si="3"/>
        <v>2.60148</v>
      </c>
      <c r="J78">
        <f t="shared" si="4"/>
        <v>-0.47852000000000006</v>
      </c>
      <c r="K78">
        <f t="shared" si="5"/>
        <v>0.22898139040000007</v>
      </c>
    </row>
    <row r="79" spans="1:11" x14ac:dyDescent="0.35">
      <c r="A79">
        <v>27.2</v>
      </c>
      <c r="B79">
        <v>4</v>
      </c>
      <c r="C79">
        <v>1</v>
      </c>
      <c r="D79">
        <v>0</v>
      </c>
      <c r="E79">
        <v>0</v>
      </c>
      <c r="F79">
        <v>0</v>
      </c>
      <c r="G79">
        <v>0</v>
      </c>
      <c r="H79">
        <v>4</v>
      </c>
      <c r="I79">
        <f t="shared" si="3"/>
        <v>3.9497999999999998</v>
      </c>
      <c r="J79">
        <f t="shared" si="4"/>
        <v>-5.0200000000000244E-2</v>
      </c>
      <c r="K79">
        <f t="shared" si="5"/>
        <v>2.5200400000000246E-3</v>
      </c>
    </row>
    <row r="80" spans="1:11" x14ac:dyDescent="0.35">
      <c r="A80">
        <v>22.76</v>
      </c>
      <c r="B80">
        <v>2</v>
      </c>
      <c r="C80">
        <v>1</v>
      </c>
      <c r="D80">
        <v>0</v>
      </c>
      <c r="E80">
        <v>0</v>
      </c>
      <c r="F80">
        <v>0</v>
      </c>
      <c r="G80">
        <v>0</v>
      </c>
      <c r="H80">
        <v>3</v>
      </c>
      <c r="I80">
        <f t="shared" si="3"/>
        <v>3.1764399999999999</v>
      </c>
      <c r="J80">
        <f t="shared" si="4"/>
        <v>0.17643999999999993</v>
      </c>
      <c r="K80">
        <f t="shared" si="5"/>
        <v>3.1131073599999975E-2</v>
      </c>
    </row>
    <row r="81" spans="1:11" x14ac:dyDescent="0.35">
      <c r="A81">
        <v>17.29</v>
      </c>
      <c r="B81">
        <v>2</v>
      </c>
      <c r="C81">
        <v>1</v>
      </c>
      <c r="D81">
        <v>0</v>
      </c>
      <c r="E81">
        <v>0</v>
      </c>
      <c r="F81">
        <v>0</v>
      </c>
      <c r="G81">
        <v>0</v>
      </c>
      <c r="H81">
        <v>2.71</v>
      </c>
      <c r="I81">
        <f t="shared" si="3"/>
        <v>2.6622599999999998</v>
      </c>
      <c r="J81">
        <f t="shared" si="4"/>
        <v>-4.7740000000000116E-2</v>
      </c>
      <c r="K81">
        <f t="shared" si="5"/>
        <v>2.2791076000000109E-3</v>
      </c>
    </row>
    <row r="82" spans="1:11" x14ac:dyDescent="0.35">
      <c r="A82">
        <v>19.440000000000001</v>
      </c>
      <c r="B82">
        <v>2</v>
      </c>
      <c r="C82">
        <v>1</v>
      </c>
      <c r="D82">
        <v>1</v>
      </c>
      <c r="E82">
        <v>0</v>
      </c>
      <c r="F82">
        <v>0</v>
      </c>
      <c r="G82">
        <v>0</v>
      </c>
      <c r="H82">
        <v>3</v>
      </c>
      <c r="I82">
        <f t="shared" si="3"/>
        <v>2.7803599999999999</v>
      </c>
      <c r="J82">
        <f t="shared" si="4"/>
        <v>-0.21964000000000006</v>
      </c>
      <c r="K82">
        <f t="shared" si="5"/>
        <v>4.8241729600000026E-2</v>
      </c>
    </row>
    <row r="83" spans="1:11" x14ac:dyDescent="0.35">
      <c r="A83">
        <v>16.66</v>
      </c>
      <c r="B83">
        <v>2</v>
      </c>
      <c r="C83">
        <v>1</v>
      </c>
      <c r="D83">
        <v>0</v>
      </c>
      <c r="E83">
        <v>0</v>
      </c>
      <c r="F83">
        <v>0</v>
      </c>
      <c r="G83">
        <v>0</v>
      </c>
      <c r="H83">
        <v>3.4</v>
      </c>
      <c r="I83">
        <f t="shared" si="3"/>
        <v>2.60304</v>
      </c>
      <c r="J83">
        <f t="shared" si="4"/>
        <v>-0.79695999999999989</v>
      </c>
      <c r="K83">
        <f t="shared" si="5"/>
        <v>0.63514524159999985</v>
      </c>
    </row>
    <row r="84" spans="1:11" x14ac:dyDescent="0.35">
      <c r="A84">
        <v>10.07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1.83</v>
      </c>
      <c r="I84">
        <f t="shared" si="3"/>
        <v>1.8345799999999999</v>
      </c>
      <c r="J84">
        <f t="shared" si="4"/>
        <v>4.5799999999998064E-3</v>
      </c>
      <c r="K84">
        <f t="shared" si="5"/>
        <v>2.0976399999998226E-5</v>
      </c>
    </row>
    <row r="85" spans="1:11" x14ac:dyDescent="0.35">
      <c r="A85">
        <v>32.68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  <c r="H85">
        <v>5</v>
      </c>
      <c r="I85">
        <f t="shared" si="3"/>
        <v>4.0249200000000007</v>
      </c>
      <c r="J85">
        <f t="shared" si="4"/>
        <v>-0.97507999999999928</v>
      </c>
      <c r="K85">
        <f t="shared" si="5"/>
        <v>0.95078100639999863</v>
      </c>
    </row>
    <row r="86" spans="1:11" x14ac:dyDescent="0.35">
      <c r="A86">
        <v>15.98</v>
      </c>
      <c r="B86">
        <v>2</v>
      </c>
      <c r="C86">
        <v>1</v>
      </c>
      <c r="D86">
        <v>0</v>
      </c>
      <c r="E86">
        <v>0</v>
      </c>
      <c r="F86">
        <v>0</v>
      </c>
      <c r="G86">
        <v>0</v>
      </c>
      <c r="H86">
        <v>2.0299999999999998</v>
      </c>
      <c r="I86">
        <f t="shared" si="3"/>
        <v>2.53912</v>
      </c>
      <c r="J86">
        <f t="shared" si="4"/>
        <v>0.50912000000000024</v>
      </c>
      <c r="K86">
        <f t="shared" si="5"/>
        <v>0.25920317440000024</v>
      </c>
    </row>
    <row r="87" spans="1:11" x14ac:dyDescent="0.35">
      <c r="A87">
        <v>34.83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  <c r="H87">
        <v>5.17</v>
      </c>
      <c r="I87">
        <f t="shared" si="3"/>
        <v>4.6960199999999999</v>
      </c>
      <c r="J87">
        <f t="shared" si="4"/>
        <v>-0.47398000000000007</v>
      </c>
      <c r="K87">
        <f t="shared" si="5"/>
        <v>0.22465704040000006</v>
      </c>
    </row>
    <row r="88" spans="1:11" x14ac:dyDescent="0.35">
      <c r="A88">
        <v>13.03</v>
      </c>
      <c r="B88">
        <v>2</v>
      </c>
      <c r="C88">
        <v>1</v>
      </c>
      <c r="D88">
        <v>0</v>
      </c>
      <c r="E88">
        <v>0</v>
      </c>
      <c r="F88">
        <v>0</v>
      </c>
      <c r="G88">
        <v>0</v>
      </c>
      <c r="H88">
        <v>2</v>
      </c>
      <c r="I88">
        <f t="shared" si="3"/>
        <v>2.2618200000000002</v>
      </c>
      <c r="J88">
        <f t="shared" si="4"/>
        <v>0.26182000000000016</v>
      </c>
      <c r="K88">
        <f t="shared" si="5"/>
        <v>6.8549712400000087E-2</v>
      </c>
    </row>
    <row r="89" spans="1:11" x14ac:dyDescent="0.35">
      <c r="A89">
        <v>18.28</v>
      </c>
      <c r="B89">
        <v>2</v>
      </c>
      <c r="C89">
        <v>1</v>
      </c>
      <c r="D89">
        <v>0</v>
      </c>
      <c r="E89">
        <v>0</v>
      </c>
      <c r="F89">
        <v>0</v>
      </c>
      <c r="G89">
        <v>0</v>
      </c>
      <c r="H89">
        <v>4</v>
      </c>
      <c r="I89">
        <f t="shared" si="3"/>
        <v>2.7553200000000002</v>
      </c>
      <c r="J89">
        <f t="shared" si="4"/>
        <v>-1.2446799999999998</v>
      </c>
      <c r="K89">
        <f t="shared" si="5"/>
        <v>1.5492283023999995</v>
      </c>
    </row>
    <row r="90" spans="1:11" x14ac:dyDescent="0.35">
      <c r="A90">
        <v>24.71</v>
      </c>
      <c r="B90">
        <v>2</v>
      </c>
      <c r="C90">
        <v>1</v>
      </c>
      <c r="D90">
        <v>0</v>
      </c>
      <c r="E90">
        <v>0</v>
      </c>
      <c r="F90">
        <v>0</v>
      </c>
      <c r="G90">
        <v>0</v>
      </c>
      <c r="H90">
        <v>5.85</v>
      </c>
      <c r="I90">
        <f t="shared" si="3"/>
        <v>3.3597399999999999</v>
      </c>
      <c r="J90">
        <f t="shared" si="4"/>
        <v>-2.4902599999999997</v>
      </c>
      <c r="K90">
        <f t="shared" si="5"/>
        <v>6.2013948675999986</v>
      </c>
    </row>
    <row r="91" spans="1:11" x14ac:dyDescent="0.35">
      <c r="A91">
        <v>21.16</v>
      </c>
      <c r="B91">
        <v>2</v>
      </c>
      <c r="C91">
        <v>1</v>
      </c>
      <c r="D91">
        <v>0</v>
      </c>
      <c r="E91">
        <v>0</v>
      </c>
      <c r="F91">
        <v>0</v>
      </c>
      <c r="G91">
        <v>0</v>
      </c>
      <c r="H91">
        <v>3</v>
      </c>
      <c r="I91">
        <f t="shared" si="3"/>
        <v>3.0260400000000001</v>
      </c>
      <c r="J91">
        <f t="shared" si="4"/>
        <v>2.6040000000000063E-2</v>
      </c>
      <c r="K91">
        <f t="shared" si="5"/>
        <v>6.7808160000000332E-4</v>
      </c>
    </row>
    <row r="92" spans="1:11" x14ac:dyDescent="0.35">
      <c r="A92">
        <v>28.97</v>
      </c>
      <c r="B92">
        <v>2</v>
      </c>
      <c r="C92">
        <v>1</v>
      </c>
      <c r="D92">
        <v>1</v>
      </c>
      <c r="E92">
        <v>1</v>
      </c>
      <c r="F92">
        <v>1</v>
      </c>
      <c r="G92">
        <v>0</v>
      </c>
      <c r="H92">
        <v>3</v>
      </c>
      <c r="I92">
        <f t="shared" si="3"/>
        <v>3.8051799999999996</v>
      </c>
      <c r="J92">
        <f t="shared" si="4"/>
        <v>0.80517999999999956</v>
      </c>
      <c r="K92">
        <f t="shared" si="5"/>
        <v>0.64831483239999932</v>
      </c>
    </row>
    <row r="93" spans="1:11" x14ac:dyDescent="0.35">
      <c r="A93">
        <v>22.49</v>
      </c>
      <c r="B93">
        <v>2</v>
      </c>
      <c r="C93">
        <v>1</v>
      </c>
      <c r="D93">
        <v>0</v>
      </c>
      <c r="E93">
        <v>1</v>
      </c>
      <c r="F93">
        <v>1</v>
      </c>
      <c r="G93">
        <v>0</v>
      </c>
      <c r="H93">
        <v>3.5</v>
      </c>
      <c r="I93">
        <f t="shared" si="3"/>
        <v>3.2800599999999998</v>
      </c>
      <c r="J93">
        <f t="shared" si="4"/>
        <v>-0.21994000000000025</v>
      </c>
      <c r="K93">
        <f t="shared" si="5"/>
        <v>4.8373603600000106E-2</v>
      </c>
    </row>
    <row r="94" spans="1:11" x14ac:dyDescent="0.35">
      <c r="A94">
        <v>5.75</v>
      </c>
      <c r="B94">
        <v>2</v>
      </c>
      <c r="C94">
        <v>0</v>
      </c>
      <c r="D94">
        <v>1</v>
      </c>
      <c r="E94">
        <v>1</v>
      </c>
      <c r="F94">
        <v>1</v>
      </c>
      <c r="G94">
        <v>0</v>
      </c>
      <c r="H94">
        <v>1</v>
      </c>
      <c r="I94">
        <f t="shared" si="3"/>
        <v>1.6515</v>
      </c>
      <c r="J94">
        <f t="shared" si="4"/>
        <v>0.65149999999999997</v>
      </c>
      <c r="K94">
        <f t="shared" si="5"/>
        <v>0.42445224999999998</v>
      </c>
    </row>
    <row r="95" spans="1:11" x14ac:dyDescent="0.35">
      <c r="A95">
        <v>16.32</v>
      </c>
      <c r="B95">
        <v>2</v>
      </c>
      <c r="C95">
        <v>0</v>
      </c>
      <c r="D95">
        <v>1</v>
      </c>
      <c r="E95">
        <v>1</v>
      </c>
      <c r="F95">
        <v>1</v>
      </c>
      <c r="G95">
        <v>0</v>
      </c>
      <c r="H95">
        <v>4.3</v>
      </c>
      <c r="I95">
        <f t="shared" si="3"/>
        <v>2.6450800000000001</v>
      </c>
      <c r="J95">
        <f t="shared" si="4"/>
        <v>-1.6549199999999997</v>
      </c>
      <c r="K95">
        <f t="shared" si="5"/>
        <v>2.738760206399999</v>
      </c>
    </row>
    <row r="96" spans="1:11" x14ac:dyDescent="0.35">
      <c r="A96">
        <v>22.75</v>
      </c>
      <c r="B96">
        <v>2</v>
      </c>
      <c r="C96">
        <v>0</v>
      </c>
      <c r="D96">
        <v>0</v>
      </c>
      <c r="E96">
        <v>1</v>
      </c>
      <c r="F96">
        <v>1</v>
      </c>
      <c r="G96">
        <v>0</v>
      </c>
      <c r="H96">
        <v>3.25</v>
      </c>
      <c r="I96">
        <f t="shared" si="3"/>
        <v>3.3334999999999999</v>
      </c>
      <c r="J96">
        <f t="shared" si="4"/>
        <v>8.3499999999999908E-2</v>
      </c>
      <c r="K96">
        <f t="shared" si="5"/>
        <v>6.9722499999999845E-3</v>
      </c>
    </row>
    <row r="97" spans="1:11" x14ac:dyDescent="0.35">
      <c r="A97">
        <v>40.17</v>
      </c>
      <c r="B97">
        <v>4</v>
      </c>
      <c r="C97">
        <v>1</v>
      </c>
      <c r="D97">
        <v>1</v>
      </c>
      <c r="E97">
        <v>1</v>
      </c>
      <c r="F97">
        <v>1</v>
      </c>
      <c r="G97">
        <v>0</v>
      </c>
      <c r="H97">
        <v>4.7300000000000004</v>
      </c>
      <c r="I97">
        <f t="shared" si="3"/>
        <v>5.2139800000000003</v>
      </c>
      <c r="J97">
        <f t="shared" si="4"/>
        <v>0.48397999999999985</v>
      </c>
      <c r="K97">
        <f t="shared" si="5"/>
        <v>0.23423664039999986</v>
      </c>
    </row>
    <row r="98" spans="1:11" x14ac:dyDescent="0.35">
      <c r="A98">
        <v>27.28</v>
      </c>
      <c r="B98">
        <v>2</v>
      </c>
      <c r="C98">
        <v>1</v>
      </c>
      <c r="D98">
        <v>1</v>
      </c>
      <c r="E98">
        <v>1</v>
      </c>
      <c r="F98">
        <v>1</v>
      </c>
      <c r="G98">
        <v>0</v>
      </c>
      <c r="H98">
        <v>4</v>
      </c>
      <c r="I98">
        <f t="shared" si="3"/>
        <v>3.6463199999999998</v>
      </c>
      <c r="J98">
        <f t="shared" si="4"/>
        <v>-0.35368000000000022</v>
      </c>
      <c r="K98">
        <f t="shared" si="5"/>
        <v>0.12508954240000014</v>
      </c>
    </row>
    <row r="99" spans="1:11" x14ac:dyDescent="0.35">
      <c r="A99">
        <v>12.03</v>
      </c>
      <c r="B99">
        <v>2</v>
      </c>
      <c r="C99">
        <v>1</v>
      </c>
      <c r="D99">
        <v>1</v>
      </c>
      <c r="E99">
        <v>1</v>
      </c>
      <c r="F99">
        <v>1</v>
      </c>
      <c r="G99">
        <v>0</v>
      </c>
      <c r="H99">
        <v>1.5</v>
      </c>
      <c r="I99">
        <f t="shared" si="3"/>
        <v>2.2128199999999998</v>
      </c>
      <c r="J99">
        <f t="shared" si="4"/>
        <v>0.71281999999999979</v>
      </c>
      <c r="K99">
        <f t="shared" si="5"/>
        <v>0.50811235239999974</v>
      </c>
    </row>
    <row r="100" spans="1:11" x14ac:dyDescent="0.35">
      <c r="A100">
        <v>21.01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3</v>
      </c>
      <c r="I100">
        <f t="shared" si="3"/>
        <v>3.05694</v>
      </c>
      <c r="J100">
        <f t="shared" si="4"/>
        <v>5.6939999999999991E-2</v>
      </c>
      <c r="K100">
        <f t="shared" si="5"/>
        <v>3.2421635999999991E-3</v>
      </c>
    </row>
    <row r="101" spans="1:11" x14ac:dyDescent="0.35">
      <c r="A101">
        <v>12.46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1.5</v>
      </c>
      <c r="I101">
        <f t="shared" si="3"/>
        <v>2.33724</v>
      </c>
      <c r="J101">
        <f t="shared" si="4"/>
        <v>0.83723999999999998</v>
      </c>
      <c r="K101">
        <f t="shared" si="5"/>
        <v>0.70097081760000002</v>
      </c>
    </row>
    <row r="102" spans="1:11" x14ac:dyDescent="0.35">
      <c r="A102">
        <v>11.35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2.5</v>
      </c>
      <c r="I102">
        <f t="shared" si="3"/>
        <v>2.1778999999999997</v>
      </c>
      <c r="J102">
        <f t="shared" si="4"/>
        <v>-0.32210000000000027</v>
      </c>
      <c r="K102">
        <f t="shared" si="5"/>
        <v>0.10374841000000018</v>
      </c>
    </row>
    <row r="103" spans="1:11" x14ac:dyDescent="0.35">
      <c r="A103">
        <v>15.38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3</v>
      </c>
      <c r="I103">
        <f t="shared" si="3"/>
        <v>2.5567199999999999</v>
      </c>
      <c r="J103">
        <f t="shared" si="4"/>
        <v>-0.44328000000000012</v>
      </c>
      <c r="K103">
        <f t="shared" si="5"/>
        <v>0.19649715840000009</v>
      </c>
    </row>
    <row r="104" spans="1:11" x14ac:dyDescent="0.35">
      <c r="A104">
        <v>44.3</v>
      </c>
      <c r="B104">
        <v>3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2.5</v>
      </c>
      <c r="I104">
        <f t="shared" si="3"/>
        <v>5.2882000000000007</v>
      </c>
      <c r="J104">
        <f t="shared" si="4"/>
        <v>2.7882000000000007</v>
      </c>
      <c r="K104">
        <f t="shared" si="5"/>
        <v>7.7740592400000041</v>
      </c>
    </row>
    <row r="105" spans="1:11" x14ac:dyDescent="0.35">
      <c r="A105">
        <v>22.42</v>
      </c>
      <c r="B105">
        <v>2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3.48</v>
      </c>
      <c r="I105">
        <f t="shared" si="3"/>
        <v>3.05348</v>
      </c>
      <c r="J105">
        <f t="shared" si="4"/>
        <v>-0.42652000000000001</v>
      </c>
      <c r="K105">
        <f t="shared" si="5"/>
        <v>0.18191931040000001</v>
      </c>
    </row>
    <row r="106" spans="1:11" x14ac:dyDescent="0.35">
      <c r="A106">
        <v>20.92</v>
      </c>
      <c r="B106">
        <v>2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4.08</v>
      </c>
      <c r="I106">
        <f t="shared" si="3"/>
        <v>2.99648</v>
      </c>
      <c r="J106">
        <f t="shared" si="4"/>
        <v>-1.08352</v>
      </c>
      <c r="K106">
        <f t="shared" si="5"/>
        <v>1.1740155904</v>
      </c>
    </row>
    <row r="107" spans="1:11" x14ac:dyDescent="0.35">
      <c r="A107">
        <v>15.36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1.64</v>
      </c>
      <c r="I107">
        <f t="shared" si="3"/>
        <v>2.3608399999999996</v>
      </c>
      <c r="J107">
        <f t="shared" si="4"/>
        <v>0.7208399999999997</v>
      </c>
      <c r="K107">
        <f t="shared" si="5"/>
        <v>0.51961030559999954</v>
      </c>
    </row>
    <row r="108" spans="1:11" x14ac:dyDescent="0.35">
      <c r="A108">
        <v>20.49</v>
      </c>
      <c r="B108">
        <v>2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4.0599999999999996</v>
      </c>
      <c r="I108">
        <f t="shared" si="3"/>
        <v>2.8430599999999995</v>
      </c>
      <c r="J108">
        <f t="shared" si="4"/>
        <v>-1.2169400000000001</v>
      </c>
      <c r="K108">
        <f t="shared" si="5"/>
        <v>1.4809429636000002</v>
      </c>
    </row>
    <row r="109" spans="1:11" x14ac:dyDescent="0.35">
      <c r="A109">
        <v>25.21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4.29</v>
      </c>
      <c r="I109">
        <f t="shared" si="3"/>
        <v>3.28674</v>
      </c>
      <c r="J109">
        <f t="shared" si="4"/>
        <v>-1.00326</v>
      </c>
      <c r="K109">
        <f t="shared" si="5"/>
        <v>1.0065306276000001</v>
      </c>
    </row>
    <row r="110" spans="1:11" x14ac:dyDescent="0.35">
      <c r="A110">
        <v>18.239999999999998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3.76</v>
      </c>
      <c r="I110">
        <f t="shared" si="3"/>
        <v>2.7155599999999995</v>
      </c>
      <c r="J110">
        <f t="shared" si="4"/>
        <v>-1.0444400000000003</v>
      </c>
      <c r="K110">
        <f t="shared" si="5"/>
        <v>1.0908549136000005</v>
      </c>
    </row>
    <row r="111" spans="1:11" x14ac:dyDescent="0.35">
      <c r="A111">
        <v>14.31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4</v>
      </c>
      <c r="I111">
        <f t="shared" si="3"/>
        <v>2.2911399999999995</v>
      </c>
      <c r="J111">
        <f t="shared" si="4"/>
        <v>-1.7088600000000005</v>
      </c>
      <c r="K111">
        <f t="shared" si="5"/>
        <v>2.9202024996000016</v>
      </c>
    </row>
    <row r="112" spans="1:11" x14ac:dyDescent="0.35">
      <c r="A112">
        <v>14</v>
      </c>
      <c r="B112">
        <v>2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3</v>
      </c>
      <c r="I112">
        <f t="shared" si="3"/>
        <v>2.3169999999999997</v>
      </c>
      <c r="J112">
        <f t="shared" si="4"/>
        <v>-0.68300000000000027</v>
      </c>
      <c r="K112">
        <f t="shared" si="5"/>
        <v>0.46648900000000038</v>
      </c>
    </row>
    <row r="113" spans="1:11" x14ac:dyDescent="0.35">
      <c r="A113">
        <v>7.25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1</v>
      </c>
      <c r="I113">
        <f t="shared" si="3"/>
        <v>1.5334999999999999</v>
      </c>
      <c r="J113">
        <f t="shared" si="4"/>
        <v>0.53349999999999986</v>
      </c>
      <c r="K113">
        <f t="shared" si="5"/>
        <v>0.28462224999999985</v>
      </c>
    </row>
    <row r="114" spans="1:11" x14ac:dyDescent="0.35">
      <c r="A114">
        <v>38.07</v>
      </c>
      <c r="B114">
        <v>3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4</v>
      </c>
      <c r="I114">
        <f t="shared" si="3"/>
        <v>4.8445799999999997</v>
      </c>
      <c r="J114">
        <f t="shared" si="4"/>
        <v>0.84457999999999966</v>
      </c>
      <c r="K114">
        <f t="shared" si="5"/>
        <v>0.71331537639999942</v>
      </c>
    </row>
    <row r="115" spans="1:11" x14ac:dyDescent="0.35">
      <c r="A115">
        <v>23.95</v>
      </c>
      <c r="B115">
        <v>2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2.5499999999999998</v>
      </c>
      <c r="I115">
        <f t="shared" si="3"/>
        <v>3.3393000000000002</v>
      </c>
      <c r="J115">
        <f t="shared" si="4"/>
        <v>0.78930000000000033</v>
      </c>
      <c r="K115">
        <f t="shared" si="5"/>
        <v>0.62299449000000051</v>
      </c>
    </row>
    <row r="116" spans="1:11" x14ac:dyDescent="0.35">
      <c r="A116">
        <v>25.71</v>
      </c>
      <c r="B116">
        <v>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4</v>
      </c>
      <c r="I116">
        <f t="shared" si="3"/>
        <v>3.7117399999999998</v>
      </c>
      <c r="J116">
        <f t="shared" si="4"/>
        <v>-0.28826000000000018</v>
      </c>
      <c r="K116">
        <f t="shared" si="5"/>
        <v>8.30938276000001E-2</v>
      </c>
    </row>
    <row r="117" spans="1:11" x14ac:dyDescent="0.35">
      <c r="A117">
        <v>17.309999999999999</v>
      </c>
      <c r="B117">
        <v>2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3.5</v>
      </c>
      <c r="I117">
        <f t="shared" si="3"/>
        <v>2.7441399999999998</v>
      </c>
      <c r="J117">
        <f t="shared" si="4"/>
        <v>-0.7558600000000002</v>
      </c>
      <c r="K117">
        <f t="shared" si="5"/>
        <v>0.57132433960000029</v>
      </c>
    </row>
    <row r="118" spans="1:11" x14ac:dyDescent="0.35">
      <c r="A118">
        <v>29.93</v>
      </c>
      <c r="B118">
        <v>4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5.07</v>
      </c>
      <c r="I118">
        <f t="shared" si="3"/>
        <v>4.2574199999999998</v>
      </c>
      <c r="J118">
        <f t="shared" si="4"/>
        <v>-0.81258000000000052</v>
      </c>
      <c r="K118">
        <f t="shared" si="5"/>
        <v>0.66028625640000083</v>
      </c>
    </row>
    <row r="119" spans="1:11" x14ac:dyDescent="0.35">
      <c r="A119">
        <v>10.65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1.5</v>
      </c>
      <c r="I119">
        <f t="shared" si="3"/>
        <v>2.0670999999999999</v>
      </c>
      <c r="J119">
        <f t="shared" si="4"/>
        <v>0.56709999999999994</v>
      </c>
      <c r="K119">
        <f t="shared" si="5"/>
        <v>0.32160240999999995</v>
      </c>
    </row>
    <row r="120" spans="1:11" x14ac:dyDescent="0.35">
      <c r="A120">
        <v>12.43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1.8</v>
      </c>
      <c r="I120">
        <f t="shared" si="3"/>
        <v>2.2344200000000001</v>
      </c>
      <c r="J120">
        <f t="shared" si="4"/>
        <v>0.43442000000000003</v>
      </c>
      <c r="K120">
        <f t="shared" si="5"/>
        <v>0.18872073640000003</v>
      </c>
    </row>
    <row r="121" spans="1:11" x14ac:dyDescent="0.35">
      <c r="A121">
        <v>24.08</v>
      </c>
      <c r="B121">
        <v>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2.92</v>
      </c>
      <c r="I121">
        <f t="shared" si="3"/>
        <v>3.6855199999999995</v>
      </c>
      <c r="J121">
        <f t="shared" si="4"/>
        <v>0.76551999999999953</v>
      </c>
      <c r="K121">
        <f t="shared" si="5"/>
        <v>0.58602087039999928</v>
      </c>
    </row>
    <row r="122" spans="1:11" x14ac:dyDescent="0.35">
      <c r="A122">
        <v>11.69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2.31</v>
      </c>
      <c r="I122">
        <f t="shared" si="3"/>
        <v>2.1358600000000001</v>
      </c>
      <c r="J122">
        <f t="shared" si="4"/>
        <v>-0.17413999999999996</v>
      </c>
      <c r="K122">
        <f t="shared" si="5"/>
        <v>3.0324739599999987E-2</v>
      </c>
    </row>
    <row r="123" spans="1:11" x14ac:dyDescent="0.35">
      <c r="A123">
        <v>13.42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1.68</v>
      </c>
      <c r="I123">
        <f t="shared" si="3"/>
        <v>2.32748</v>
      </c>
      <c r="J123">
        <f t="shared" si="4"/>
        <v>0.64748000000000006</v>
      </c>
      <c r="K123">
        <f t="shared" si="5"/>
        <v>0.41923035040000006</v>
      </c>
    </row>
    <row r="124" spans="1:11" x14ac:dyDescent="0.35">
      <c r="A124">
        <v>14.26</v>
      </c>
      <c r="B124">
        <v>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2.5</v>
      </c>
      <c r="I124">
        <f t="shared" si="3"/>
        <v>2.37744</v>
      </c>
      <c r="J124">
        <f t="shared" si="4"/>
        <v>-0.12256</v>
      </c>
      <c r="K124">
        <f t="shared" si="5"/>
        <v>1.5020953600000001E-2</v>
      </c>
    </row>
    <row r="125" spans="1:11" x14ac:dyDescent="0.35">
      <c r="A125">
        <v>15.95</v>
      </c>
      <c r="B125">
        <v>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2</v>
      </c>
      <c r="I125">
        <f t="shared" si="3"/>
        <v>2.5362999999999998</v>
      </c>
      <c r="J125">
        <f t="shared" si="4"/>
        <v>0.53629999999999978</v>
      </c>
      <c r="K125">
        <f t="shared" si="5"/>
        <v>0.28761768999999976</v>
      </c>
    </row>
    <row r="126" spans="1:11" x14ac:dyDescent="0.35">
      <c r="A126">
        <v>12.48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2.52</v>
      </c>
      <c r="I126">
        <f t="shared" si="3"/>
        <v>2.2391199999999998</v>
      </c>
      <c r="J126">
        <f t="shared" si="4"/>
        <v>-0.28088000000000024</v>
      </c>
      <c r="K126">
        <f t="shared" si="5"/>
        <v>7.8893574400000138E-2</v>
      </c>
    </row>
    <row r="127" spans="1:11" x14ac:dyDescent="0.35">
      <c r="A127">
        <v>29.8</v>
      </c>
      <c r="B127">
        <v>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4.2</v>
      </c>
      <c r="I127">
        <f t="shared" si="3"/>
        <v>4.5792000000000002</v>
      </c>
      <c r="J127">
        <f t="shared" si="4"/>
        <v>0.37919999999999998</v>
      </c>
      <c r="K127">
        <f t="shared" si="5"/>
        <v>0.14379264</v>
      </c>
    </row>
    <row r="128" spans="1:11" x14ac:dyDescent="0.35">
      <c r="A128">
        <v>8.52</v>
      </c>
      <c r="B128">
        <v>2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1.48</v>
      </c>
      <c r="I128">
        <f t="shared" si="3"/>
        <v>1.8378799999999997</v>
      </c>
      <c r="J128">
        <f t="shared" si="4"/>
        <v>0.35787999999999975</v>
      </c>
      <c r="K128">
        <f t="shared" si="5"/>
        <v>0.12807809439999981</v>
      </c>
    </row>
    <row r="129" spans="1:11" x14ac:dyDescent="0.35">
      <c r="A129">
        <v>14.52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f t="shared" si="3"/>
        <v>2.4308799999999997</v>
      </c>
      <c r="J129">
        <f t="shared" si="4"/>
        <v>0.43087999999999971</v>
      </c>
      <c r="K129">
        <f t="shared" si="5"/>
        <v>0.18565757439999975</v>
      </c>
    </row>
    <row r="130" spans="1:11" x14ac:dyDescent="0.35">
      <c r="A130">
        <v>11.38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f t="shared" si="3"/>
        <v>2.1357200000000001</v>
      </c>
      <c r="J130">
        <f t="shared" si="4"/>
        <v>0.13572000000000006</v>
      </c>
      <c r="K130">
        <f t="shared" si="5"/>
        <v>1.8419918400000016E-2</v>
      </c>
    </row>
    <row r="131" spans="1:11" x14ac:dyDescent="0.35">
      <c r="A131">
        <v>22.82</v>
      </c>
      <c r="B131">
        <v>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2.1800000000000002</v>
      </c>
      <c r="I131">
        <f t="shared" ref="I131:I194" si="6">0.71+(0.094*A131)+(0.178*B131)-(0.029*C131)-(0.084*D131)+(0.051*E131)+(0.078*F131)-(0.087*G131)</f>
        <v>3.36008</v>
      </c>
      <c r="J131">
        <f t="shared" ref="J131:J194" si="7">I131-H131</f>
        <v>1.1800799999999998</v>
      </c>
      <c r="K131">
        <f t="shared" ref="K131:K194" si="8">J131^2</f>
        <v>1.3925888063999996</v>
      </c>
    </row>
    <row r="132" spans="1:11" x14ac:dyDescent="0.35">
      <c r="A132">
        <v>19.079999999999998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1.5</v>
      </c>
      <c r="I132">
        <f t="shared" si="6"/>
        <v>2.8305199999999999</v>
      </c>
      <c r="J132">
        <f t="shared" si="7"/>
        <v>1.3305199999999999</v>
      </c>
      <c r="K132">
        <f t="shared" si="8"/>
        <v>1.7702834703999999</v>
      </c>
    </row>
    <row r="133" spans="1:11" x14ac:dyDescent="0.35">
      <c r="A133">
        <v>20.27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2.83</v>
      </c>
      <c r="I133">
        <f t="shared" si="6"/>
        <v>2.9713799999999999</v>
      </c>
      <c r="J133">
        <f t="shared" si="7"/>
        <v>0.14137999999999984</v>
      </c>
      <c r="K133">
        <f t="shared" si="8"/>
        <v>1.9988304399999955E-2</v>
      </c>
    </row>
    <row r="134" spans="1:11" x14ac:dyDescent="0.35">
      <c r="A134">
        <v>11.17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1.5</v>
      </c>
      <c r="I134">
        <f t="shared" si="6"/>
        <v>2.11598</v>
      </c>
      <c r="J134">
        <f t="shared" si="7"/>
        <v>0.61597999999999997</v>
      </c>
      <c r="K134">
        <f t="shared" si="8"/>
        <v>0.37943136039999997</v>
      </c>
    </row>
    <row r="135" spans="1:11" x14ac:dyDescent="0.35">
      <c r="A135">
        <v>12.26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</v>
      </c>
      <c r="I135">
        <f t="shared" si="6"/>
        <v>2.2184399999999997</v>
      </c>
      <c r="J135">
        <f t="shared" si="7"/>
        <v>0.21843999999999975</v>
      </c>
      <c r="K135">
        <f t="shared" si="8"/>
        <v>4.7716033599999888E-2</v>
      </c>
    </row>
    <row r="136" spans="1:11" x14ac:dyDescent="0.35">
      <c r="A136">
        <v>18.260000000000002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3.25</v>
      </c>
      <c r="I136">
        <f t="shared" si="6"/>
        <v>2.7824400000000002</v>
      </c>
      <c r="J136">
        <f t="shared" si="7"/>
        <v>-0.46755999999999975</v>
      </c>
      <c r="K136">
        <f t="shared" si="8"/>
        <v>0.21861235359999978</v>
      </c>
    </row>
    <row r="137" spans="1:11" x14ac:dyDescent="0.35">
      <c r="A137">
        <v>8.51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1.25</v>
      </c>
      <c r="I137">
        <f t="shared" si="6"/>
        <v>1.8659399999999997</v>
      </c>
      <c r="J137">
        <f t="shared" si="7"/>
        <v>0.61593999999999971</v>
      </c>
      <c r="K137">
        <f t="shared" si="8"/>
        <v>0.37938208359999964</v>
      </c>
    </row>
    <row r="138" spans="1:11" x14ac:dyDescent="0.35">
      <c r="A138">
        <v>10.33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f t="shared" si="6"/>
        <v>2.0370200000000001</v>
      </c>
      <c r="J138">
        <f t="shared" si="7"/>
        <v>3.7020000000000053E-2</v>
      </c>
      <c r="K138">
        <f t="shared" si="8"/>
        <v>1.3704804000000039E-3</v>
      </c>
    </row>
    <row r="139" spans="1:11" x14ac:dyDescent="0.35">
      <c r="A139">
        <v>14.15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f t="shared" si="6"/>
        <v>2.3960999999999997</v>
      </c>
      <c r="J139">
        <f t="shared" si="7"/>
        <v>0.39609999999999967</v>
      </c>
      <c r="K139">
        <f t="shared" si="8"/>
        <v>0.15689520999999973</v>
      </c>
    </row>
    <row r="140" spans="1:11" x14ac:dyDescent="0.35">
      <c r="A140">
        <v>16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2</v>
      </c>
      <c r="I140">
        <f t="shared" si="6"/>
        <v>2.4569999999999999</v>
      </c>
      <c r="J140">
        <f t="shared" si="7"/>
        <v>0.45699999999999985</v>
      </c>
      <c r="K140">
        <f t="shared" si="8"/>
        <v>0.20884899999999987</v>
      </c>
    </row>
    <row r="141" spans="1:11" x14ac:dyDescent="0.35">
      <c r="A141">
        <v>13.16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2.75</v>
      </c>
      <c r="I141">
        <f t="shared" si="6"/>
        <v>2.3030399999999998</v>
      </c>
      <c r="J141">
        <f t="shared" si="7"/>
        <v>-0.44696000000000025</v>
      </c>
      <c r="K141">
        <f t="shared" si="8"/>
        <v>0.19977324160000021</v>
      </c>
    </row>
    <row r="142" spans="1:11" x14ac:dyDescent="0.35">
      <c r="A142">
        <v>17.47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3.5</v>
      </c>
      <c r="I142">
        <f t="shared" si="6"/>
        <v>2.7081799999999996</v>
      </c>
      <c r="J142">
        <f t="shared" si="7"/>
        <v>-0.79182000000000041</v>
      </c>
      <c r="K142">
        <f t="shared" si="8"/>
        <v>0.6269789124000007</v>
      </c>
    </row>
    <row r="143" spans="1:11" x14ac:dyDescent="0.35">
      <c r="A143">
        <v>34.299999999999997</v>
      </c>
      <c r="B143">
        <v>6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6.7</v>
      </c>
      <c r="I143">
        <f t="shared" si="6"/>
        <v>4.9732000000000003</v>
      </c>
      <c r="J143">
        <f t="shared" si="7"/>
        <v>-1.7267999999999999</v>
      </c>
      <c r="K143">
        <f t="shared" si="8"/>
        <v>2.9818382399999996</v>
      </c>
    </row>
    <row r="144" spans="1:11" x14ac:dyDescent="0.35">
      <c r="A144">
        <v>41.19</v>
      </c>
      <c r="B144">
        <v>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5</v>
      </c>
      <c r="I144">
        <f t="shared" si="6"/>
        <v>5.4428599999999996</v>
      </c>
      <c r="J144">
        <f t="shared" si="7"/>
        <v>0.44285999999999959</v>
      </c>
      <c r="K144">
        <f t="shared" si="8"/>
        <v>0.19612497959999964</v>
      </c>
    </row>
    <row r="145" spans="1:11" x14ac:dyDescent="0.35">
      <c r="A145">
        <v>27.05</v>
      </c>
      <c r="B145">
        <v>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5</v>
      </c>
      <c r="I145">
        <f t="shared" si="6"/>
        <v>4.3207000000000004</v>
      </c>
      <c r="J145">
        <f t="shared" si="7"/>
        <v>-0.67929999999999957</v>
      </c>
      <c r="K145">
        <f t="shared" si="8"/>
        <v>0.46144848999999943</v>
      </c>
    </row>
    <row r="146" spans="1:11" x14ac:dyDescent="0.35">
      <c r="A146">
        <v>16.43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2.2999999999999998</v>
      </c>
      <c r="I146">
        <f t="shared" si="6"/>
        <v>2.6104199999999995</v>
      </c>
      <c r="J146">
        <f t="shared" si="7"/>
        <v>0.3104199999999997</v>
      </c>
      <c r="K146">
        <f t="shared" si="8"/>
        <v>9.6360576399999814E-2</v>
      </c>
    </row>
    <row r="147" spans="1:11" x14ac:dyDescent="0.35">
      <c r="A147">
        <v>8.35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1.5</v>
      </c>
      <c r="I147">
        <f t="shared" si="6"/>
        <v>1.8508999999999998</v>
      </c>
      <c r="J147">
        <f t="shared" si="7"/>
        <v>0.35089999999999977</v>
      </c>
      <c r="K147">
        <f t="shared" si="8"/>
        <v>0.12313080999999984</v>
      </c>
    </row>
    <row r="148" spans="1:11" x14ac:dyDescent="0.35">
      <c r="A148">
        <v>18.64</v>
      </c>
      <c r="B148">
        <v>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1.36</v>
      </c>
      <c r="I148">
        <f t="shared" si="6"/>
        <v>2.9961599999999997</v>
      </c>
      <c r="J148">
        <f t="shared" si="7"/>
        <v>1.6361599999999996</v>
      </c>
      <c r="K148">
        <f t="shared" si="8"/>
        <v>2.6770195455999986</v>
      </c>
    </row>
    <row r="149" spans="1:11" x14ac:dyDescent="0.35">
      <c r="A149">
        <v>11.87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1.63</v>
      </c>
      <c r="I149">
        <f t="shared" si="6"/>
        <v>2.1817799999999998</v>
      </c>
      <c r="J149">
        <f t="shared" si="7"/>
        <v>0.55177999999999994</v>
      </c>
      <c r="K149">
        <f t="shared" si="8"/>
        <v>0.30446116839999993</v>
      </c>
    </row>
    <row r="150" spans="1:11" x14ac:dyDescent="0.35">
      <c r="A150">
        <v>9.7799999999999994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1.73</v>
      </c>
      <c r="I150">
        <f t="shared" si="6"/>
        <v>1.9563199999999998</v>
      </c>
      <c r="J150">
        <f t="shared" si="7"/>
        <v>0.22631999999999985</v>
      </c>
      <c r="K150">
        <f t="shared" si="8"/>
        <v>5.1220742399999936E-2</v>
      </c>
    </row>
    <row r="151" spans="1:11" x14ac:dyDescent="0.35">
      <c r="A151">
        <v>7.51</v>
      </c>
      <c r="B151">
        <v>2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2</v>
      </c>
      <c r="I151">
        <f t="shared" si="6"/>
        <v>1.7429399999999999</v>
      </c>
      <c r="J151">
        <f t="shared" si="7"/>
        <v>-0.25706000000000007</v>
      </c>
      <c r="K151">
        <f t="shared" si="8"/>
        <v>6.6079843600000035E-2</v>
      </c>
    </row>
    <row r="152" spans="1:11" x14ac:dyDescent="0.35">
      <c r="A152">
        <v>14.07</v>
      </c>
      <c r="B152">
        <v>2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2.5</v>
      </c>
      <c r="I152">
        <f t="shared" si="6"/>
        <v>2.4105800000000004</v>
      </c>
      <c r="J152">
        <f t="shared" si="7"/>
        <v>-8.9419999999999611E-2</v>
      </c>
      <c r="K152">
        <f t="shared" si="8"/>
        <v>7.9959363999999311E-3</v>
      </c>
    </row>
    <row r="153" spans="1:11" x14ac:dyDescent="0.35">
      <c r="A153">
        <v>13.13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2</v>
      </c>
      <c r="I153">
        <f t="shared" si="6"/>
        <v>2.3222200000000002</v>
      </c>
      <c r="J153">
        <f t="shared" si="7"/>
        <v>0.32222000000000017</v>
      </c>
      <c r="K153">
        <f t="shared" si="8"/>
        <v>0.10382572840000011</v>
      </c>
    </row>
    <row r="154" spans="1:11" x14ac:dyDescent="0.35">
      <c r="A154">
        <v>17.260000000000002</v>
      </c>
      <c r="B154">
        <v>3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2.74</v>
      </c>
      <c r="I154">
        <f t="shared" si="6"/>
        <v>2.8884400000000001</v>
      </c>
      <c r="J154">
        <f t="shared" si="7"/>
        <v>0.14843999999999991</v>
      </c>
      <c r="K154">
        <f t="shared" si="8"/>
        <v>2.2034433599999972E-2</v>
      </c>
    </row>
    <row r="155" spans="1:11" x14ac:dyDescent="0.35">
      <c r="A155">
        <v>24.55</v>
      </c>
      <c r="B155">
        <v>4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2</v>
      </c>
      <c r="I155">
        <f t="shared" si="6"/>
        <v>3.7517000000000005</v>
      </c>
      <c r="J155">
        <f t="shared" si="7"/>
        <v>1.7517000000000005</v>
      </c>
      <c r="K155">
        <f t="shared" si="8"/>
        <v>3.0684528900000019</v>
      </c>
    </row>
    <row r="156" spans="1:11" x14ac:dyDescent="0.35">
      <c r="A156">
        <v>19.77</v>
      </c>
      <c r="B156">
        <v>4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2</v>
      </c>
      <c r="I156">
        <f t="shared" si="6"/>
        <v>3.3023800000000003</v>
      </c>
      <c r="J156">
        <f t="shared" si="7"/>
        <v>1.3023800000000003</v>
      </c>
      <c r="K156">
        <f t="shared" si="8"/>
        <v>1.6961936644000009</v>
      </c>
    </row>
    <row r="157" spans="1:11" x14ac:dyDescent="0.35">
      <c r="A157">
        <v>29.85</v>
      </c>
      <c r="B157">
        <v>5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5.14</v>
      </c>
      <c r="I157">
        <f t="shared" si="6"/>
        <v>4.4569000000000001</v>
      </c>
      <c r="J157">
        <f t="shared" si="7"/>
        <v>-0.6830999999999996</v>
      </c>
      <c r="K157">
        <f t="shared" si="8"/>
        <v>0.46662560999999947</v>
      </c>
    </row>
    <row r="158" spans="1:11" x14ac:dyDescent="0.35">
      <c r="A158">
        <v>48.17</v>
      </c>
      <c r="B158">
        <v>6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5</v>
      </c>
      <c r="I158">
        <f t="shared" si="6"/>
        <v>6.3279800000000002</v>
      </c>
      <c r="J158">
        <f t="shared" si="7"/>
        <v>1.3279800000000002</v>
      </c>
      <c r="K158">
        <f t="shared" si="8"/>
        <v>1.7635308804000005</v>
      </c>
    </row>
    <row r="159" spans="1:11" x14ac:dyDescent="0.35">
      <c r="A159">
        <v>25</v>
      </c>
      <c r="B159">
        <v>4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3.75</v>
      </c>
      <c r="I159">
        <f t="shared" si="6"/>
        <v>3.8230000000000004</v>
      </c>
      <c r="J159">
        <f t="shared" si="7"/>
        <v>7.3000000000000398E-2</v>
      </c>
      <c r="K159">
        <f t="shared" si="8"/>
        <v>5.3290000000000585E-3</v>
      </c>
    </row>
    <row r="160" spans="1:11" x14ac:dyDescent="0.35">
      <c r="A160">
        <v>13.39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2.61</v>
      </c>
      <c r="I160">
        <f t="shared" si="6"/>
        <v>2.3756600000000003</v>
      </c>
      <c r="J160">
        <f t="shared" si="7"/>
        <v>-0.23433999999999955</v>
      </c>
      <c r="K160">
        <f t="shared" si="8"/>
        <v>5.4915235599999786E-2</v>
      </c>
    </row>
    <row r="161" spans="1:11" x14ac:dyDescent="0.35">
      <c r="A161">
        <v>16.489999999999998</v>
      </c>
      <c r="B161">
        <v>4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2</v>
      </c>
      <c r="I161">
        <f t="shared" si="6"/>
        <v>2.9940600000000002</v>
      </c>
      <c r="J161">
        <f t="shared" si="7"/>
        <v>0.99406000000000017</v>
      </c>
      <c r="K161">
        <f t="shared" si="8"/>
        <v>0.98815528360000038</v>
      </c>
    </row>
    <row r="162" spans="1:11" x14ac:dyDescent="0.35">
      <c r="A162">
        <v>21.5</v>
      </c>
      <c r="B162">
        <v>4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3.5</v>
      </c>
      <c r="I162">
        <f t="shared" si="6"/>
        <v>3.4649999999999999</v>
      </c>
      <c r="J162">
        <f t="shared" si="7"/>
        <v>-3.5000000000000142E-2</v>
      </c>
      <c r="K162">
        <f t="shared" si="8"/>
        <v>1.2250000000000099E-3</v>
      </c>
    </row>
    <row r="163" spans="1:11" x14ac:dyDescent="0.35">
      <c r="A163">
        <v>12.66</v>
      </c>
      <c r="B163">
        <v>2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2.5</v>
      </c>
      <c r="I163">
        <f t="shared" si="6"/>
        <v>2.2780400000000003</v>
      </c>
      <c r="J163">
        <f t="shared" si="7"/>
        <v>-0.22195999999999971</v>
      </c>
      <c r="K163">
        <f t="shared" si="8"/>
        <v>4.9266241599999872E-2</v>
      </c>
    </row>
    <row r="164" spans="1:11" x14ac:dyDescent="0.35">
      <c r="A164">
        <v>16.21</v>
      </c>
      <c r="B164">
        <v>3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2</v>
      </c>
      <c r="I164">
        <f t="shared" si="6"/>
        <v>2.81874</v>
      </c>
      <c r="J164">
        <f t="shared" si="7"/>
        <v>0.81874000000000002</v>
      </c>
      <c r="K164">
        <f t="shared" si="8"/>
        <v>0.67033518759999999</v>
      </c>
    </row>
    <row r="165" spans="1:11" x14ac:dyDescent="0.35">
      <c r="A165">
        <v>13.81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2</v>
      </c>
      <c r="I165">
        <f t="shared" si="6"/>
        <v>2.3861400000000001</v>
      </c>
      <c r="J165">
        <f t="shared" si="7"/>
        <v>0.38614000000000015</v>
      </c>
      <c r="K165">
        <f t="shared" si="8"/>
        <v>0.14910409960000012</v>
      </c>
    </row>
    <row r="166" spans="1:11" x14ac:dyDescent="0.35">
      <c r="A166">
        <v>17.510000000000002</v>
      </c>
      <c r="B166">
        <v>2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3</v>
      </c>
      <c r="I166">
        <f t="shared" si="6"/>
        <v>2.6789400000000003</v>
      </c>
      <c r="J166">
        <f t="shared" si="7"/>
        <v>-0.32105999999999968</v>
      </c>
      <c r="K166">
        <f t="shared" si="8"/>
        <v>0.10307952359999979</v>
      </c>
    </row>
    <row r="167" spans="1:11" x14ac:dyDescent="0.35">
      <c r="A167">
        <v>24.52</v>
      </c>
      <c r="B167">
        <v>3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3.48</v>
      </c>
      <c r="I167">
        <f t="shared" si="6"/>
        <v>3.5708799999999998</v>
      </c>
      <c r="J167">
        <f t="shared" si="7"/>
        <v>9.087999999999985E-2</v>
      </c>
      <c r="K167">
        <f t="shared" si="8"/>
        <v>8.2591743999999735E-3</v>
      </c>
    </row>
    <row r="168" spans="1:11" x14ac:dyDescent="0.35">
      <c r="A168">
        <v>20.76</v>
      </c>
      <c r="B168">
        <v>2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2.2400000000000002</v>
      </c>
      <c r="I168">
        <f t="shared" si="6"/>
        <v>3.0394399999999999</v>
      </c>
      <c r="J168">
        <f t="shared" si="7"/>
        <v>0.79943999999999971</v>
      </c>
      <c r="K168">
        <f t="shared" si="8"/>
        <v>0.63910431359999953</v>
      </c>
    </row>
    <row r="169" spans="1:11" x14ac:dyDescent="0.35">
      <c r="A169">
        <v>31.71</v>
      </c>
      <c r="B169">
        <v>4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4.5</v>
      </c>
      <c r="I169">
        <f t="shared" si="6"/>
        <v>4.4247399999999999</v>
      </c>
      <c r="J169">
        <f t="shared" si="7"/>
        <v>-7.5260000000000105E-2</v>
      </c>
      <c r="K169">
        <f t="shared" si="8"/>
        <v>5.6640676000000159E-3</v>
      </c>
    </row>
    <row r="170" spans="1:11" x14ac:dyDescent="0.35">
      <c r="A170">
        <v>10.59</v>
      </c>
      <c r="B170">
        <v>2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1.61</v>
      </c>
      <c r="I170">
        <f t="shared" si="6"/>
        <v>1.94146</v>
      </c>
      <c r="J170">
        <f t="shared" si="7"/>
        <v>0.33145999999999987</v>
      </c>
      <c r="K170">
        <f t="shared" si="8"/>
        <v>0.10986573159999991</v>
      </c>
    </row>
    <row r="171" spans="1:11" x14ac:dyDescent="0.35">
      <c r="A171">
        <v>10.63</v>
      </c>
      <c r="B171">
        <v>2</v>
      </c>
      <c r="C171">
        <v>0</v>
      </c>
      <c r="D171">
        <v>1</v>
      </c>
      <c r="E171">
        <v>1</v>
      </c>
      <c r="F171">
        <v>0</v>
      </c>
      <c r="G171">
        <v>1</v>
      </c>
      <c r="H171">
        <v>2</v>
      </c>
      <c r="I171">
        <f t="shared" si="6"/>
        <v>1.9452200000000002</v>
      </c>
      <c r="J171">
        <f t="shared" si="7"/>
        <v>-5.4779999999999829E-2</v>
      </c>
      <c r="K171">
        <f t="shared" si="8"/>
        <v>3.0008483999999815E-3</v>
      </c>
    </row>
    <row r="172" spans="1:11" x14ac:dyDescent="0.35">
      <c r="A172">
        <v>50.81</v>
      </c>
      <c r="B172">
        <v>3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10</v>
      </c>
      <c r="I172">
        <f t="shared" si="6"/>
        <v>5.8711400000000005</v>
      </c>
      <c r="J172">
        <f t="shared" si="7"/>
        <v>-4.1288599999999995</v>
      </c>
      <c r="K172">
        <f t="shared" si="8"/>
        <v>17.047484899599997</v>
      </c>
    </row>
    <row r="173" spans="1:11" x14ac:dyDescent="0.35">
      <c r="A173">
        <v>15.81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3.16</v>
      </c>
      <c r="I173">
        <f t="shared" si="6"/>
        <v>2.4031399999999996</v>
      </c>
      <c r="J173">
        <f t="shared" si="7"/>
        <v>-0.75686000000000053</v>
      </c>
      <c r="K173">
        <f t="shared" si="8"/>
        <v>0.57283705960000075</v>
      </c>
    </row>
    <row r="174" spans="1:11" x14ac:dyDescent="0.35">
      <c r="A174">
        <v>7.25</v>
      </c>
      <c r="B174">
        <v>2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5.15</v>
      </c>
      <c r="I174">
        <f t="shared" si="6"/>
        <v>1.6855</v>
      </c>
      <c r="J174">
        <f t="shared" si="7"/>
        <v>-3.4645000000000001</v>
      </c>
      <c r="K174">
        <f t="shared" si="8"/>
        <v>12.002760250000001</v>
      </c>
    </row>
    <row r="175" spans="1:11" x14ac:dyDescent="0.35">
      <c r="A175">
        <v>31.85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3.18</v>
      </c>
      <c r="I175">
        <f t="shared" si="6"/>
        <v>3.9979</v>
      </c>
      <c r="J175">
        <f t="shared" si="7"/>
        <v>0.81789999999999985</v>
      </c>
      <c r="K175">
        <f t="shared" si="8"/>
        <v>0.66896040999999973</v>
      </c>
    </row>
    <row r="176" spans="1:11" x14ac:dyDescent="0.35">
      <c r="A176">
        <v>16.82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4</v>
      </c>
      <c r="I176">
        <f t="shared" si="6"/>
        <v>2.58508</v>
      </c>
      <c r="J176">
        <f t="shared" si="7"/>
        <v>-1.41492</v>
      </c>
      <c r="K176">
        <f t="shared" si="8"/>
        <v>2.0019986063999999</v>
      </c>
    </row>
    <row r="177" spans="1:11" x14ac:dyDescent="0.35">
      <c r="A177">
        <v>32.9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3.11</v>
      </c>
      <c r="I177">
        <f t="shared" si="6"/>
        <v>4.0966000000000005</v>
      </c>
      <c r="J177">
        <f t="shared" si="7"/>
        <v>0.98660000000000059</v>
      </c>
      <c r="K177">
        <f t="shared" si="8"/>
        <v>0.97337956000000114</v>
      </c>
    </row>
    <row r="178" spans="1:11" x14ac:dyDescent="0.35">
      <c r="A178">
        <v>17.89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2</v>
      </c>
      <c r="I178">
        <f t="shared" si="6"/>
        <v>2.6856599999999999</v>
      </c>
      <c r="J178">
        <f t="shared" si="7"/>
        <v>0.68565999999999994</v>
      </c>
      <c r="K178">
        <f t="shared" si="8"/>
        <v>0.47012963559999993</v>
      </c>
    </row>
    <row r="179" spans="1:11" x14ac:dyDescent="0.35">
      <c r="A179">
        <v>14.48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2</v>
      </c>
      <c r="I179">
        <f t="shared" si="6"/>
        <v>2.3651200000000001</v>
      </c>
      <c r="J179">
        <f t="shared" si="7"/>
        <v>0.36512000000000011</v>
      </c>
      <c r="K179">
        <f t="shared" si="8"/>
        <v>0.13331261440000008</v>
      </c>
    </row>
    <row r="180" spans="1:11" x14ac:dyDescent="0.35">
      <c r="A180">
        <v>9.6</v>
      </c>
      <c r="B180">
        <v>2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4</v>
      </c>
      <c r="I180">
        <f t="shared" si="6"/>
        <v>1.9353999999999998</v>
      </c>
      <c r="J180">
        <f t="shared" si="7"/>
        <v>-2.0646000000000004</v>
      </c>
      <c r="K180">
        <f t="shared" si="8"/>
        <v>4.2625731600000014</v>
      </c>
    </row>
    <row r="181" spans="1:11" x14ac:dyDescent="0.35">
      <c r="A181">
        <v>34.630000000000003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3.55</v>
      </c>
      <c r="I181">
        <f t="shared" si="6"/>
        <v>4.2592200000000009</v>
      </c>
      <c r="J181">
        <f t="shared" si="7"/>
        <v>0.70922000000000107</v>
      </c>
      <c r="K181">
        <f t="shared" si="8"/>
        <v>0.5029930084000015</v>
      </c>
    </row>
    <row r="182" spans="1:11" x14ac:dyDescent="0.35">
      <c r="A182">
        <v>34.65</v>
      </c>
      <c r="B182">
        <v>4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3.68</v>
      </c>
      <c r="I182">
        <f t="shared" si="6"/>
        <v>4.6171000000000006</v>
      </c>
      <c r="J182">
        <f t="shared" si="7"/>
        <v>0.93710000000000049</v>
      </c>
      <c r="K182">
        <f t="shared" si="8"/>
        <v>0.87815641000000089</v>
      </c>
    </row>
    <row r="183" spans="1:11" x14ac:dyDescent="0.35">
      <c r="A183">
        <v>23.33</v>
      </c>
      <c r="B183">
        <v>2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5.65</v>
      </c>
      <c r="I183">
        <f t="shared" si="6"/>
        <v>3.1970199999999998</v>
      </c>
      <c r="J183">
        <f t="shared" si="7"/>
        <v>-2.4529800000000006</v>
      </c>
      <c r="K183">
        <f t="shared" si="8"/>
        <v>6.0171108804000033</v>
      </c>
    </row>
    <row r="184" spans="1:11" x14ac:dyDescent="0.35">
      <c r="A184">
        <v>45.35</v>
      </c>
      <c r="B184">
        <v>3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3.5</v>
      </c>
      <c r="I184">
        <f t="shared" si="6"/>
        <v>5.4449000000000005</v>
      </c>
      <c r="J184">
        <f t="shared" si="7"/>
        <v>1.9449000000000005</v>
      </c>
      <c r="K184">
        <f t="shared" si="8"/>
        <v>3.7826360100000018</v>
      </c>
    </row>
    <row r="185" spans="1:11" x14ac:dyDescent="0.35">
      <c r="A185">
        <v>23.17</v>
      </c>
      <c r="B185">
        <v>4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6.5</v>
      </c>
      <c r="I185">
        <f t="shared" si="6"/>
        <v>3.5379800000000006</v>
      </c>
      <c r="J185">
        <f t="shared" si="7"/>
        <v>-2.9620199999999994</v>
      </c>
      <c r="K185">
        <f t="shared" si="8"/>
        <v>8.7735624803999972</v>
      </c>
    </row>
    <row r="186" spans="1:11" x14ac:dyDescent="0.35">
      <c r="A186">
        <v>40.549999999999997</v>
      </c>
      <c r="B186">
        <v>2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3</v>
      </c>
      <c r="I186">
        <f t="shared" si="6"/>
        <v>4.8156999999999996</v>
      </c>
      <c r="J186">
        <f t="shared" si="7"/>
        <v>1.8156999999999996</v>
      </c>
      <c r="K186">
        <f t="shared" si="8"/>
        <v>3.2967664899999987</v>
      </c>
    </row>
    <row r="187" spans="1:11" x14ac:dyDescent="0.35">
      <c r="A187">
        <v>20.69</v>
      </c>
      <c r="B187">
        <v>5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5</v>
      </c>
      <c r="I187">
        <f t="shared" si="6"/>
        <v>3.5668600000000001</v>
      </c>
      <c r="J187">
        <f t="shared" si="7"/>
        <v>-1.4331399999999999</v>
      </c>
      <c r="K187">
        <f t="shared" si="8"/>
        <v>2.0538902595999997</v>
      </c>
    </row>
    <row r="188" spans="1:11" x14ac:dyDescent="0.35">
      <c r="A188">
        <v>20.9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3.5</v>
      </c>
      <c r="I188">
        <f t="shared" si="6"/>
        <v>3.1755999999999998</v>
      </c>
      <c r="J188">
        <f t="shared" si="7"/>
        <v>-0.32440000000000024</v>
      </c>
      <c r="K188">
        <f t="shared" si="8"/>
        <v>0.10523536000000015</v>
      </c>
    </row>
    <row r="189" spans="1:11" x14ac:dyDescent="0.35">
      <c r="A189">
        <v>30.46</v>
      </c>
      <c r="B189">
        <v>5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2</v>
      </c>
      <c r="I189">
        <f t="shared" si="6"/>
        <v>4.4012400000000005</v>
      </c>
      <c r="J189">
        <f t="shared" si="7"/>
        <v>2.4012400000000005</v>
      </c>
      <c r="K189">
        <f t="shared" si="8"/>
        <v>5.7659535376000024</v>
      </c>
    </row>
    <row r="190" spans="1:11" x14ac:dyDescent="0.35">
      <c r="A190">
        <v>18.149999999999999</v>
      </c>
      <c r="B190">
        <v>3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3.5</v>
      </c>
      <c r="I190">
        <f t="shared" si="6"/>
        <v>2.9171</v>
      </c>
      <c r="J190">
        <f t="shared" si="7"/>
        <v>-0.58289999999999997</v>
      </c>
      <c r="K190">
        <f t="shared" si="8"/>
        <v>0.33977240999999997</v>
      </c>
    </row>
    <row r="191" spans="1:11" x14ac:dyDescent="0.35">
      <c r="A191">
        <v>23.1</v>
      </c>
      <c r="B191">
        <v>3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4</v>
      </c>
      <c r="I191">
        <f t="shared" si="6"/>
        <v>3.3534000000000002</v>
      </c>
      <c r="J191">
        <f t="shared" si="7"/>
        <v>-0.64659999999999984</v>
      </c>
      <c r="K191">
        <f t="shared" si="8"/>
        <v>0.41809155999999981</v>
      </c>
    </row>
    <row r="192" spans="1:11" x14ac:dyDescent="0.35">
      <c r="A192">
        <v>15.69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1.5</v>
      </c>
      <c r="I192">
        <f t="shared" si="6"/>
        <v>2.4788600000000001</v>
      </c>
      <c r="J192">
        <f t="shared" si="7"/>
        <v>0.97886000000000006</v>
      </c>
      <c r="K192">
        <f t="shared" si="8"/>
        <v>0.95816689960000012</v>
      </c>
    </row>
    <row r="193" spans="1:11" x14ac:dyDescent="0.35">
      <c r="A193">
        <v>19.809999999999999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4.1900000000000004</v>
      </c>
      <c r="I193">
        <f t="shared" si="6"/>
        <v>2.8441399999999999</v>
      </c>
      <c r="J193">
        <f t="shared" si="7"/>
        <v>-1.3458600000000005</v>
      </c>
      <c r="K193">
        <f t="shared" si="8"/>
        <v>1.8113391396000014</v>
      </c>
    </row>
    <row r="194" spans="1:11" x14ac:dyDescent="0.35">
      <c r="A194">
        <v>28.44</v>
      </c>
      <c r="B194">
        <v>2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2.56</v>
      </c>
      <c r="I194">
        <f t="shared" si="6"/>
        <v>3.62636</v>
      </c>
      <c r="J194">
        <f t="shared" si="7"/>
        <v>1.06636</v>
      </c>
      <c r="K194">
        <f t="shared" si="8"/>
        <v>1.1371236495999999</v>
      </c>
    </row>
    <row r="195" spans="1:11" x14ac:dyDescent="0.35">
      <c r="A195">
        <v>15.48</v>
      </c>
      <c r="B195">
        <v>2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2.02</v>
      </c>
      <c r="I195">
        <f t="shared" ref="I195:I245" si="9">0.71+(0.094*A195)+(0.178*B195)-(0.029*C195)-(0.084*D195)+(0.051*E195)+(0.078*F195)-(0.087*G195)</f>
        <v>2.4081199999999998</v>
      </c>
      <c r="J195">
        <f t="shared" ref="J195:J245" si="10">I195-H195</f>
        <v>0.3881199999999998</v>
      </c>
      <c r="K195">
        <f t="shared" ref="K195:K245" si="11">J195^2</f>
        <v>0.15063713439999984</v>
      </c>
    </row>
    <row r="196" spans="1:11" x14ac:dyDescent="0.35">
      <c r="A196">
        <v>16.579999999999998</v>
      </c>
      <c r="B196">
        <v>2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4</v>
      </c>
      <c r="I196">
        <f t="shared" si="9"/>
        <v>2.5115199999999995</v>
      </c>
      <c r="J196">
        <f t="shared" si="10"/>
        <v>-1.4884800000000005</v>
      </c>
      <c r="K196">
        <f t="shared" si="11"/>
        <v>2.2155727104000014</v>
      </c>
    </row>
    <row r="197" spans="1:11" x14ac:dyDescent="0.35">
      <c r="A197">
        <v>7.56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1.44</v>
      </c>
      <c r="I197">
        <f t="shared" si="9"/>
        <v>1.7476400000000001</v>
      </c>
      <c r="J197">
        <f t="shared" si="10"/>
        <v>0.30764000000000014</v>
      </c>
      <c r="K197">
        <f t="shared" si="11"/>
        <v>9.4642369600000081E-2</v>
      </c>
    </row>
    <row r="198" spans="1:11" x14ac:dyDescent="0.35">
      <c r="A198">
        <v>10.34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2</v>
      </c>
      <c r="I198">
        <f t="shared" si="9"/>
        <v>1.92496</v>
      </c>
      <c r="J198">
        <f t="shared" si="10"/>
        <v>-7.5039999999999996E-2</v>
      </c>
      <c r="K198">
        <f t="shared" si="11"/>
        <v>5.6310015999999994E-3</v>
      </c>
    </row>
    <row r="199" spans="1:11" x14ac:dyDescent="0.35">
      <c r="A199">
        <v>43.11</v>
      </c>
      <c r="B199">
        <v>4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5</v>
      </c>
      <c r="I199">
        <f t="shared" si="9"/>
        <v>5.3903400000000001</v>
      </c>
      <c r="J199">
        <f t="shared" si="10"/>
        <v>0.39034000000000013</v>
      </c>
      <c r="K199">
        <f t="shared" si="11"/>
        <v>0.15236531560000011</v>
      </c>
    </row>
    <row r="200" spans="1:11" x14ac:dyDescent="0.35">
      <c r="A200">
        <v>13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2</v>
      </c>
      <c r="I200">
        <f t="shared" si="9"/>
        <v>2.2039999999999997</v>
      </c>
      <c r="J200">
        <f t="shared" si="10"/>
        <v>0.20399999999999974</v>
      </c>
      <c r="K200">
        <f t="shared" si="11"/>
        <v>4.1615999999999896E-2</v>
      </c>
    </row>
    <row r="201" spans="1:11" x14ac:dyDescent="0.35">
      <c r="A201">
        <v>13.51</v>
      </c>
      <c r="B201">
        <v>2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2</v>
      </c>
      <c r="I201">
        <f t="shared" si="9"/>
        <v>2.2229399999999999</v>
      </c>
      <c r="J201">
        <f t="shared" si="10"/>
        <v>0.22293999999999992</v>
      </c>
      <c r="K201">
        <f t="shared" si="11"/>
        <v>4.970224359999996E-2</v>
      </c>
    </row>
    <row r="202" spans="1:11" x14ac:dyDescent="0.35">
      <c r="A202">
        <v>18.71</v>
      </c>
      <c r="B202">
        <v>3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4</v>
      </c>
      <c r="I202">
        <f t="shared" si="9"/>
        <v>2.8897400000000002</v>
      </c>
      <c r="J202">
        <f t="shared" si="10"/>
        <v>-1.1102599999999998</v>
      </c>
      <c r="K202">
        <f t="shared" si="11"/>
        <v>1.2326772675999995</v>
      </c>
    </row>
    <row r="203" spans="1:11" x14ac:dyDescent="0.35">
      <c r="A203">
        <v>12.74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2.0099999999999998</v>
      </c>
      <c r="I203">
        <f t="shared" si="9"/>
        <v>2.1795599999999999</v>
      </c>
      <c r="J203">
        <f t="shared" si="10"/>
        <v>0.16956000000000016</v>
      </c>
      <c r="K203">
        <f t="shared" si="11"/>
        <v>2.8750593600000051E-2</v>
      </c>
    </row>
    <row r="204" spans="1:11" x14ac:dyDescent="0.35">
      <c r="A204">
        <v>13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2</v>
      </c>
      <c r="I204">
        <f t="shared" si="9"/>
        <v>2.2039999999999997</v>
      </c>
      <c r="J204">
        <f t="shared" si="10"/>
        <v>0.20399999999999974</v>
      </c>
      <c r="K204">
        <f t="shared" si="11"/>
        <v>4.1615999999999896E-2</v>
      </c>
    </row>
    <row r="205" spans="1:11" x14ac:dyDescent="0.35">
      <c r="A205">
        <v>16.399999999999999</v>
      </c>
      <c r="B205">
        <v>2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2.5</v>
      </c>
      <c r="I205">
        <f t="shared" si="9"/>
        <v>2.5235999999999996</v>
      </c>
      <c r="J205">
        <f t="shared" si="10"/>
        <v>2.3599999999999621E-2</v>
      </c>
      <c r="K205">
        <f t="shared" si="11"/>
        <v>5.5695999999998212E-4</v>
      </c>
    </row>
    <row r="206" spans="1:11" x14ac:dyDescent="0.35">
      <c r="A206">
        <v>20.53</v>
      </c>
      <c r="B206">
        <v>4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4</v>
      </c>
      <c r="I206">
        <f t="shared" si="9"/>
        <v>3.23882</v>
      </c>
      <c r="J206">
        <f t="shared" si="10"/>
        <v>-0.76117999999999997</v>
      </c>
      <c r="K206">
        <f t="shared" si="11"/>
        <v>0.57939499239999992</v>
      </c>
    </row>
    <row r="207" spans="1:11" x14ac:dyDescent="0.35">
      <c r="A207">
        <v>16.47</v>
      </c>
      <c r="B207">
        <v>3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3.23</v>
      </c>
      <c r="I207">
        <f t="shared" si="9"/>
        <v>2.70818</v>
      </c>
      <c r="J207">
        <f t="shared" si="10"/>
        <v>-0.52181999999999995</v>
      </c>
      <c r="K207">
        <f t="shared" si="11"/>
        <v>0.27229611239999996</v>
      </c>
    </row>
    <row r="208" spans="1:11" x14ac:dyDescent="0.35">
      <c r="A208">
        <v>26.59</v>
      </c>
      <c r="B208">
        <v>3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3.41</v>
      </c>
      <c r="I208">
        <f t="shared" si="9"/>
        <v>3.5944599999999998</v>
      </c>
      <c r="J208">
        <f t="shared" si="10"/>
        <v>0.18445999999999962</v>
      </c>
      <c r="K208">
        <f t="shared" si="11"/>
        <v>3.402549159999986E-2</v>
      </c>
    </row>
    <row r="209" spans="1:11" x14ac:dyDescent="0.35">
      <c r="A209">
        <v>38.729999999999997</v>
      </c>
      <c r="B209">
        <v>4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3</v>
      </c>
      <c r="I209">
        <f t="shared" si="9"/>
        <v>4.9136199999999999</v>
      </c>
      <c r="J209">
        <f t="shared" si="10"/>
        <v>1.9136199999999999</v>
      </c>
      <c r="K209">
        <f t="shared" si="11"/>
        <v>3.6619415043999997</v>
      </c>
    </row>
    <row r="210" spans="1:11" x14ac:dyDescent="0.35">
      <c r="A210">
        <v>24.27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2.0299999999999998</v>
      </c>
      <c r="I210">
        <f t="shared" si="9"/>
        <v>3.1983799999999998</v>
      </c>
      <c r="J210">
        <f t="shared" si="10"/>
        <v>1.16838</v>
      </c>
      <c r="K210">
        <f t="shared" si="11"/>
        <v>1.3651118244</v>
      </c>
    </row>
    <row r="211" spans="1:11" x14ac:dyDescent="0.35">
      <c r="A211">
        <v>12.76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2.23</v>
      </c>
      <c r="I211">
        <f t="shared" si="9"/>
        <v>2.1454399999999998</v>
      </c>
      <c r="J211">
        <f t="shared" si="10"/>
        <v>-8.4560000000000191E-2</v>
      </c>
      <c r="K211">
        <f t="shared" si="11"/>
        <v>7.150393600000032E-3</v>
      </c>
    </row>
    <row r="212" spans="1:11" x14ac:dyDescent="0.35">
      <c r="A212">
        <v>30.06</v>
      </c>
      <c r="B212">
        <v>3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2</v>
      </c>
      <c r="I212">
        <f t="shared" si="9"/>
        <v>3.9206399999999992</v>
      </c>
      <c r="J212">
        <f t="shared" si="10"/>
        <v>1.9206399999999992</v>
      </c>
      <c r="K212">
        <f t="shared" si="11"/>
        <v>3.688858009599997</v>
      </c>
    </row>
    <row r="213" spans="1:11" x14ac:dyDescent="0.35">
      <c r="A213">
        <v>25.89</v>
      </c>
      <c r="B213">
        <v>4</v>
      </c>
      <c r="C213">
        <v>1</v>
      </c>
      <c r="D213">
        <v>1</v>
      </c>
      <c r="E213">
        <v>1</v>
      </c>
      <c r="F213">
        <v>0</v>
      </c>
      <c r="G213">
        <v>1</v>
      </c>
      <c r="H213">
        <v>5.16</v>
      </c>
      <c r="I213">
        <f t="shared" si="9"/>
        <v>3.7066600000000003</v>
      </c>
      <c r="J213">
        <f t="shared" si="10"/>
        <v>-1.4533399999999999</v>
      </c>
      <c r="K213">
        <f t="shared" si="11"/>
        <v>2.1121971555999997</v>
      </c>
    </row>
    <row r="214" spans="1:11" x14ac:dyDescent="0.35">
      <c r="A214">
        <v>48.33</v>
      </c>
      <c r="B214">
        <v>4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9</v>
      </c>
      <c r="I214">
        <f t="shared" si="9"/>
        <v>5.9000200000000005</v>
      </c>
      <c r="J214">
        <f t="shared" si="10"/>
        <v>-3.0999799999999995</v>
      </c>
      <c r="K214">
        <f t="shared" si="11"/>
        <v>9.6098760003999963</v>
      </c>
    </row>
    <row r="215" spans="1:11" x14ac:dyDescent="0.35">
      <c r="A215">
        <v>13.27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2.5</v>
      </c>
      <c r="I215">
        <f t="shared" si="9"/>
        <v>2.1933799999999999</v>
      </c>
      <c r="J215">
        <f t="shared" si="10"/>
        <v>-0.30662000000000011</v>
      </c>
      <c r="K215">
        <f t="shared" si="11"/>
        <v>9.4015824400000073E-2</v>
      </c>
    </row>
    <row r="216" spans="1:11" x14ac:dyDescent="0.35">
      <c r="A216">
        <v>28.17</v>
      </c>
      <c r="B216">
        <v>3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6.5</v>
      </c>
      <c r="I216">
        <f t="shared" si="9"/>
        <v>3.7719800000000001</v>
      </c>
      <c r="J216">
        <f t="shared" si="10"/>
        <v>-2.7280199999999999</v>
      </c>
      <c r="K216">
        <f t="shared" si="11"/>
        <v>7.4420931203999992</v>
      </c>
    </row>
    <row r="217" spans="1:11" x14ac:dyDescent="0.35">
      <c r="A217">
        <v>12.9</v>
      </c>
      <c r="B217">
        <v>2</v>
      </c>
      <c r="C217">
        <v>0</v>
      </c>
      <c r="D217">
        <v>1</v>
      </c>
      <c r="E217">
        <v>1</v>
      </c>
      <c r="F217">
        <v>0</v>
      </c>
      <c r="G217">
        <v>1</v>
      </c>
      <c r="H217">
        <v>1.1000000000000001</v>
      </c>
      <c r="I217">
        <f t="shared" si="9"/>
        <v>2.1585999999999999</v>
      </c>
      <c r="J217">
        <f t="shared" si="10"/>
        <v>1.0585999999999998</v>
      </c>
      <c r="K217">
        <f t="shared" si="11"/>
        <v>1.1206339599999995</v>
      </c>
    </row>
    <row r="218" spans="1:11" x14ac:dyDescent="0.35">
      <c r="A218">
        <v>28.15</v>
      </c>
      <c r="B218">
        <v>5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3</v>
      </c>
      <c r="I218">
        <f t="shared" si="9"/>
        <v>4.0971000000000002</v>
      </c>
      <c r="J218">
        <f t="shared" si="10"/>
        <v>1.0971000000000002</v>
      </c>
      <c r="K218">
        <f t="shared" si="11"/>
        <v>1.2036284100000003</v>
      </c>
    </row>
    <row r="219" spans="1:11" x14ac:dyDescent="0.35">
      <c r="A219">
        <v>11.59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1.5</v>
      </c>
      <c r="I219">
        <f t="shared" si="9"/>
        <v>2.0064600000000001</v>
      </c>
      <c r="J219">
        <f t="shared" si="10"/>
        <v>0.50646000000000013</v>
      </c>
      <c r="K219">
        <f t="shared" si="11"/>
        <v>0.25650173160000012</v>
      </c>
    </row>
    <row r="220" spans="1:11" x14ac:dyDescent="0.35">
      <c r="A220">
        <v>7.74</v>
      </c>
      <c r="B220">
        <v>2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1.44</v>
      </c>
      <c r="I220">
        <f t="shared" si="9"/>
        <v>1.6445599999999998</v>
      </c>
      <c r="J220">
        <f t="shared" si="10"/>
        <v>0.20455999999999985</v>
      </c>
      <c r="K220">
        <f t="shared" si="11"/>
        <v>4.1844793599999937E-2</v>
      </c>
    </row>
    <row r="221" spans="1:11" x14ac:dyDescent="0.35">
      <c r="A221">
        <v>30.14</v>
      </c>
      <c r="B221">
        <v>4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3.09</v>
      </c>
      <c r="I221">
        <f t="shared" si="9"/>
        <v>4.1351600000000008</v>
      </c>
      <c r="J221">
        <f t="shared" si="10"/>
        <v>1.045160000000001</v>
      </c>
      <c r="K221">
        <f t="shared" si="11"/>
        <v>1.092359425600002</v>
      </c>
    </row>
    <row r="222" spans="1:11" x14ac:dyDescent="0.35">
      <c r="A222">
        <v>12.16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2.2000000000000002</v>
      </c>
      <c r="I222">
        <f t="shared" si="9"/>
        <v>2.1740399999999998</v>
      </c>
      <c r="J222">
        <f t="shared" si="10"/>
        <v>-2.5960000000000427E-2</v>
      </c>
      <c r="K222">
        <f t="shared" si="11"/>
        <v>6.7392160000002217E-4</v>
      </c>
    </row>
    <row r="223" spans="1:11" x14ac:dyDescent="0.35">
      <c r="A223">
        <v>13.42</v>
      </c>
      <c r="B223">
        <v>2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3.48</v>
      </c>
      <c r="I223">
        <f t="shared" si="9"/>
        <v>2.3214799999999998</v>
      </c>
      <c r="J223">
        <f t="shared" si="10"/>
        <v>-1.1585200000000002</v>
      </c>
      <c r="K223">
        <f t="shared" si="11"/>
        <v>1.3421685904000005</v>
      </c>
    </row>
    <row r="224" spans="1:11" x14ac:dyDescent="0.35">
      <c r="A224">
        <v>8.58</v>
      </c>
      <c r="B224">
        <v>1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1.92</v>
      </c>
      <c r="I224">
        <f t="shared" si="9"/>
        <v>1.6595199999999999</v>
      </c>
      <c r="J224">
        <f t="shared" si="10"/>
        <v>-0.26048000000000004</v>
      </c>
      <c r="K224">
        <f t="shared" si="11"/>
        <v>6.7849830400000019E-2</v>
      </c>
    </row>
    <row r="225" spans="1:11" x14ac:dyDescent="0.35">
      <c r="A225">
        <v>15.98</v>
      </c>
      <c r="B225">
        <v>3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3</v>
      </c>
      <c r="I225">
        <f t="shared" si="9"/>
        <v>2.8241200000000002</v>
      </c>
      <c r="J225">
        <f t="shared" si="10"/>
        <v>-0.17587999999999981</v>
      </c>
      <c r="K225">
        <f t="shared" si="11"/>
        <v>3.0933774399999933E-2</v>
      </c>
    </row>
    <row r="226" spans="1:11" x14ac:dyDescent="0.35">
      <c r="A226">
        <v>13.42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1.58</v>
      </c>
      <c r="I226">
        <f t="shared" si="9"/>
        <v>2.2924799999999999</v>
      </c>
      <c r="J226">
        <f t="shared" si="10"/>
        <v>0.71247999999999978</v>
      </c>
      <c r="K226">
        <f t="shared" si="11"/>
        <v>0.50762775039999963</v>
      </c>
    </row>
    <row r="227" spans="1:11" x14ac:dyDescent="0.35">
      <c r="A227">
        <v>16.27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2.5</v>
      </c>
      <c r="I227">
        <f t="shared" si="9"/>
        <v>2.5893799999999993</v>
      </c>
      <c r="J227">
        <f t="shared" si="10"/>
        <v>8.9379999999999349E-2</v>
      </c>
      <c r="K227">
        <f t="shared" si="11"/>
        <v>7.9887843999998844E-3</v>
      </c>
    </row>
    <row r="228" spans="1:11" x14ac:dyDescent="0.35">
      <c r="A228">
        <v>10.09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2</v>
      </c>
      <c r="I228">
        <f t="shared" si="9"/>
        <v>2.0084599999999995</v>
      </c>
      <c r="J228">
        <f t="shared" si="10"/>
        <v>8.4599999999994679E-3</v>
      </c>
      <c r="K228">
        <f t="shared" si="11"/>
        <v>7.1571599999990999E-5</v>
      </c>
    </row>
    <row r="229" spans="1:11" x14ac:dyDescent="0.35">
      <c r="A229">
        <v>20.45</v>
      </c>
      <c r="B229">
        <v>4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3</v>
      </c>
      <c r="I229">
        <f t="shared" si="9"/>
        <v>3.2792999999999997</v>
      </c>
      <c r="J229">
        <f t="shared" si="10"/>
        <v>0.27929999999999966</v>
      </c>
      <c r="K229">
        <f t="shared" si="11"/>
        <v>7.8008489999999805E-2</v>
      </c>
    </row>
    <row r="230" spans="1:11" x14ac:dyDescent="0.35">
      <c r="A230">
        <v>13.28</v>
      </c>
      <c r="B230">
        <v>2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2.72</v>
      </c>
      <c r="I230">
        <f t="shared" si="9"/>
        <v>2.24932</v>
      </c>
      <c r="J230">
        <f t="shared" si="10"/>
        <v>-0.47068000000000021</v>
      </c>
      <c r="K230">
        <f t="shared" si="11"/>
        <v>0.2215396624000002</v>
      </c>
    </row>
    <row r="231" spans="1:11" x14ac:dyDescent="0.35">
      <c r="A231">
        <v>22.12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2.88</v>
      </c>
      <c r="I231">
        <f t="shared" si="9"/>
        <v>3.02528</v>
      </c>
      <c r="J231">
        <f t="shared" si="10"/>
        <v>0.14528000000000008</v>
      </c>
      <c r="K231">
        <f t="shared" si="11"/>
        <v>2.1106278400000022E-2</v>
      </c>
    </row>
    <row r="232" spans="1:11" x14ac:dyDescent="0.35">
      <c r="A232">
        <v>24.01</v>
      </c>
      <c r="B232">
        <v>4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2</v>
      </c>
      <c r="I232">
        <f t="shared" si="9"/>
        <v>3.5299399999999999</v>
      </c>
      <c r="J232">
        <f t="shared" si="10"/>
        <v>1.5299399999999999</v>
      </c>
      <c r="K232">
        <f t="shared" si="11"/>
        <v>2.3407164035999997</v>
      </c>
    </row>
    <row r="233" spans="1:11" x14ac:dyDescent="0.35">
      <c r="A233">
        <v>15.69</v>
      </c>
      <c r="B233">
        <v>3</v>
      </c>
      <c r="C233">
        <v>1</v>
      </c>
      <c r="D233">
        <v>1</v>
      </c>
      <c r="E233">
        <v>1</v>
      </c>
      <c r="F233">
        <v>0</v>
      </c>
      <c r="G233">
        <v>1</v>
      </c>
      <c r="H233">
        <v>3</v>
      </c>
      <c r="I233">
        <f t="shared" si="9"/>
        <v>2.5698600000000003</v>
      </c>
      <c r="J233">
        <f t="shared" si="10"/>
        <v>-0.43013999999999974</v>
      </c>
      <c r="K233">
        <f t="shared" si="11"/>
        <v>0.18502041959999979</v>
      </c>
    </row>
    <row r="234" spans="1:11" x14ac:dyDescent="0.35">
      <c r="A234">
        <v>11.61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1</v>
      </c>
      <c r="H234">
        <v>3.39</v>
      </c>
      <c r="I234">
        <f t="shared" si="9"/>
        <v>2.0923400000000001</v>
      </c>
      <c r="J234">
        <f t="shared" si="10"/>
        <v>-1.29766</v>
      </c>
      <c r="K234">
        <f t="shared" si="11"/>
        <v>1.6839214756000001</v>
      </c>
    </row>
    <row r="235" spans="1:11" x14ac:dyDescent="0.35">
      <c r="A235">
        <v>10.77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1.47</v>
      </c>
      <c r="I235">
        <f t="shared" si="9"/>
        <v>2.0133800000000002</v>
      </c>
      <c r="J235">
        <f t="shared" si="10"/>
        <v>0.5433800000000002</v>
      </c>
      <c r="K235">
        <f t="shared" si="11"/>
        <v>0.29526182440000021</v>
      </c>
    </row>
    <row r="236" spans="1:11" x14ac:dyDescent="0.35">
      <c r="A236">
        <v>15.53</v>
      </c>
      <c r="B236">
        <v>2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3</v>
      </c>
      <c r="I236">
        <f t="shared" si="9"/>
        <v>2.3768199999999995</v>
      </c>
      <c r="J236">
        <f t="shared" si="10"/>
        <v>-0.62318000000000051</v>
      </c>
      <c r="K236">
        <f t="shared" si="11"/>
        <v>0.38835331240000065</v>
      </c>
    </row>
    <row r="237" spans="1:11" x14ac:dyDescent="0.35">
      <c r="A237">
        <v>10.07</v>
      </c>
      <c r="B237">
        <v>2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1.25</v>
      </c>
      <c r="I237">
        <f t="shared" si="9"/>
        <v>1.9475800000000001</v>
      </c>
      <c r="J237">
        <f t="shared" si="10"/>
        <v>0.69758000000000009</v>
      </c>
      <c r="K237">
        <f t="shared" si="11"/>
        <v>0.4866178564000001</v>
      </c>
    </row>
    <row r="238" spans="1:11" x14ac:dyDescent="0.35">
      <c r="A238">
        <v>12.6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1</v>
      </c>
      <c r="H238">
        <v>1</v>
      </c>
      <c r="I238">
        <f t="shared" si="9"/>
        <v>2.1013999999999999</v>
      </c>
      <c r="J238">
        <f t="shared" si="10"/>
        <v>1.1013999999999999</v>
      </c>
      <c r="K238">
        <f t="shared" si="11"/>
        <v>1.2130819599999998</v>
      </c>
    </row>
    <row r="239" spans="1:11" x14ac:dyDescent="0.35">
      <c r="A239">
        <v>32.83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1.17</v>
      </c>
      <c r="I239">
        <f t="shared" si="9"/>
        <v>4.0030200000000011</v>
      </c>
      <c r="J239">
        <f t="shared" si="10"/>
        <v>2.8330200000000012</v>
      </c>
      <c r="K239">
        <f t="shared" si="11"/>
        <v>8.0260023204000071</v>
      </c>
    </row>
    <row r="240" spans="1:11" x14ac:dyDescent="0.35">
      <c r="A240">
        <v>35.83</v>
      </c>
      <c r="B240">
        <v>3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4.67</v>
      </c>
      <c r="I240">
        <f t="shared" si="9"/>
        <v>4.5760200000000006</v>
      </c>
      <c r="J240">
        <f t="shared" si="10"/>
        <v>-9.3979999999999286E-2</v>
      </c>
      <c r="K240">
        <f t="shared" si="11"/>
        <v>8.8322403999998664E-3</v>
      </c>
    </row>
    <row r="241" spans="1:11" x14ac:dyDescent="0.35">
      <c r="A241">
        <v>29.03</v>
      </c>
      <c r="B241">
        <v>3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5.92</v>
      </c>
      <c r="I241">
        <f t="shared" si="9"/>
        <v>3.9078200000000005</v>
      </c>
      <c r="J241">
        <f t="shared" si="10"/>
        <v>-2.0121799999999994</v>
      </c>
      <c r="K241">
        <f t="shared" si="11"/>
        <v>4.0488683523999978</v>
      </c>
    </row>
    <row r="242" spans="1:11" x14ac:dyDescent="0.35">
      <c r="A242">
        <v>27.18</v>
      </c>
      <c r="B242">
        <v>2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2</v>
      </c>
      <c r="I242">
        <f t="shared" si="9"/>
        <v>3.5009199999999998</v>
      </c>
      <c r="J242">
        <f t="shared" si="10"/>
        <v>1.5009199999999998</v>
      </c>
      <c r="K242">
        <f t="shared" si="11"/>
        <v>2.2527608463999993</v>
      </c>
    </row>
    <row r="243" spans="1:11" x14ac:dyDescent="0.35">
      <c r="A243">
        <v>22.67</v>
      </c>
      <c r="B243">
        <v>2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2</v>
      </c>
      <c r="I243">
        <f t="shared" si="9"/>
        <v>3.0479799999999999</v>
      </c>
      <c r="J243">
        <f t="shared" si="10"/>
        <v>1.0479799999999999</v>
      </c>
      <c r="K243">
        <f t="shared" si="11"/>
        <v>1.0982620803999998</v>
      </c>
    </row>
    <row r="244" spans="1:11" x14ac:dyDescent="0.35">
      <c r="A244">
        <v>17.82</v>
      </c>
      <c r="B244">
        <v>2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1.75</v>
      </c>
      <c r="I244">
        <f t="shared" si="9"/>
        <v>2.6760800000000002</v>
      </c>
      <c r="J244">
        <f t="shared" si="10"/>
        <v>0.92608000000000024</v>
      </c>
      <c r="K244">
        <f t="shared" si="11"/>
        <v>0.85762416640000039</v>
      </c>
    </row>
    <row r="245" spans="1:11" x14ac:dyDescent="0.35">
      <c r="A245">
        <v>18.78</v>
      </c>
      <c r="B245">
        <v>2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3</v>
      </c>
      <c r="I245">
        <f t="shared" si="9"/>
        <v>2.88232</v>
      </c>
      <c r="J245">
        <f t="shared" si="10"/>
        <v>-0.11768000000000001</v>
      </c>
      <c r="K245">
        <f t="shared" si="11"/>
        <v>1.3848582400000002E-2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tips</vt:lpstr>
      <vt:lpstr>Correlation</vt:lpstr>
      <vt:lpstr>Regression</vt:lpstr>
      <vt:lpstr>Predicted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Adnan Abbas</cp:lastModifiedBy>
  <cp:revision/>
  <dcterms:created xsi:type="dcterms:W3CDTF">2021-10-26T16:10:41Z</dcterms:created>
  <dcterms:modified xsi:type="dcterms:W3CDTF">2026-01-30T10:52:16Z</dcterms:modified>
  <cp:category/>
  <cp:contentStatus/>
</cp:coreProperties>
</file>